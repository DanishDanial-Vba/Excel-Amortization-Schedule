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utomation\Addins\Finance Lease\"/>
    </mc:Choice>
  </mc:AlternateContent>
  <xr:revisionPtr revIDLastSave="0" documentId="13_ncr:1_{16167215-DB3B-45F1-B0D2-A885B774CB0A}" xr6:coauthVersionLast="47" xr6:coauthVersionMax="47" xr10:uidLastSave="{00000000-0000-0000-0000-000000000000}"/>
  <bookViews>
    <workbookView xWindow="-108" yWindow="-108" windowWidth="23256" windowHeight="12456" xr2:uid="{D25A78B8-7113-45F6-9044-479265077DF2}"/>
  </bookViews>
  <sheets>
    <sheet name="Sheet1" sheetId="93" r:id="rId1"/>
    <sheet name="Sheet33" sheetId="92" r:id="rId2"/>
    <sheet name="Sheet32" sheetId="91" r:id="rId3"/>
    <sheet name="Sheet31" sheetId="90" r:id="rId4"/>
    <sheet name="Sheet30" sheetId="89" r:id="rId5"/>
    <sheet name="Sheet29" sheetId="88" r:id="rId6"/>
    <sheet name="Sheet2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" i="93" l="1"/>
  <c r="Z19" i="93"/>
  <c r="Z17" i="93"/>
  <c r="Z16" i="93"/>
  <c r="Z14" i="93"/>
  <c r="Z10" i="93"/>
  <c r="Y22" i="93"/>
  <c r="Y20" i="93"/>
  <c r="Y19" i="93"/>
  <c r="Y17" i="93"/>
  <c r="Y16" i="93"/>
  <c r="Y14" i="93"/>
  <c r="Y11" i="93"/>
  <c r="Y10" i="93"/>
  <c r="X22" i="93"/>
  <c r="X20" i="93"/>
  <c r="X19" i="93"/>
  <c r="X17" i="93"/>
  <c r="X16" i="93"/>
  <c r="X14" i="93"/>
  <c r="X11" i="93"/>
  <c r="X10" i="93"/>
  <c r="W22" i="93"/>
  <c r="W20" i="93"/>
  <c r="W19" i="93"/>
  <c r="W17" i="93"/>
  <c r="W16" i="93"/>
  <c r="W14" i="93"/>
  <c r="W11" i="93"/>
  <c r="W10" i="93"/>
  <c r="V22" i="93"/>
  <c r="V20" i="93"/>
  <c r="V19" i="93"/>
  <c r="V17" i="93"/>
  <c r="V16" i="93"/>
  <c r="V14" i="93"/>
  <c r="V11" i="93"/>
  <c r="V10" i="93"/>
  <c r="U22" i="93"/>
  <c r="U21" i="93"/>
  <c r="U20" i="93"/>
  <c r="U19" i="93"/>
  <c r="U17" i="93"/>
  <c r="U16" i="93"/>
  <c r="U14" i="93"/>
  <c r="U12" i="93"/>
  <c r="U11" i="93"/>
  <c r="U10" i="93"/>
  <c r="T22" i="93"/>
  <c r="T21" i="93"/>
  <c r="T20" i="93"/>
  <c r="T19" i="93"/>
  <c r="T17" i="93"/>
  <c r="T16" i="93"/>
  <c r="T14" i="93"/>
  <c r="T12" i="93"/>
  <c r="T11" i="93"/>
  <c r="T10" i="93"/>
  <c r="S22" i="93"/>
  <c r="S21" i="93"/>
  <c r="S20" i="93"/>
  <c r="S19" i="93"/>
  <c r="S17" i="93"/>
  <c r="S16" i="93"/>
  <c r="S14" i="93"/>
  <c r="S12" i="93"/>
  <c r="S11" i="93"/>
  <c r="S10" i="93"/>
  <c r="R22" i="93"/>
  <c r="R21" i="93"/>
  <c r="R20" i="93"/>
  <c r="R19" i="93"/>
  <c r="R17" i="93"/>
  <c r="R16" i="93"/>
  <c r="R14" i="93"/>
  <c r="R12" i="93"/>
  <c r="R11" i="93"/>
  <c r="R10" i="93"/>
  <c r="Q22" i="93"/>
  <c r="Q21" i="93"/>
  <c r="Q20" i="93"/>
  <c r="Q19" i="93"/>
  <c r="Q17" i="93"/>
  <c r="Q16" i="93"/>
  <c r="Q14" i="93"/>
  <c r="Q12" i="93"/>
  <c r="Q11" i="93"/>
  <c r="Q10" i="93"/>
  <c r="P22" i="93"/>
  <c r="P21" i="93"/>
  <c r="P20" i="93"/>
  <c r="P19" i="93"/>
  <c r="P17" i="93"/>
  <c r="P16" i="93"/>
  <c r="P14" i="93"/>
  <c r="P12" i="93"/>
  <c r="P11" i="93"/>
  <c r="P10" i="93"/>
  <c r="O22" i="93"/>
  <c r="O21" i="93"/>
  <c r="O20" i="93"/>
  <c r="O19" i="93"/>
  <c r="O17" i="93"/>
  <c r="O16" i="93"/>
  <c r="O14" i="93"/>
  <c r="O12" i="93"/>
  <c r="O11" i="93"/>
  <c r="O10" i="93"/>
  <c r="N22" i="93"/>
  <c r="N21" i="93"/>
  <c r="N20" i="93"/>
  <c r="N19" i="93"/>
  <c r="N17" i="93"/>
  <c r="N16" i="93"/>
  <c r="N14" i="93"/>
  <c r="N12" i="93"/>
  <c r="N11" i="93"/>
  <c r="N10" i="93"/>
  <c r="K159" i="93"/>
  <c r="I159" i="93"/>
  <c r="H159" i="93"/>
  <c r="G159" i="93"/>
  <c r="E159" i="93"/>
  <c r="C159" i="93"/>
  <c r="K158" i="93"/>
  <c r="I158" i="93"/>
  <c r="H158" i="93"/>
  <c r="G158" i="93"/>
  <c r="E158" i="93"/>
  <c r="C158" i="93"/>
  <c r="K157" i="93"/>
  <c r="I157" i="93"/>
  <c r="H157" i="93"/>
  <c r="G157" i="93"/>
  <c r="E157" i="93"/>
  <c r="C157" i="93"/>
  <c r="K156" i="93"/>
  <c r="I156" i="93"/>
  <c r="H156" i="93"/>
  <c r="G156" i="93"/>
  <c r="E156" i="93"/>
  <c r="C156" i="93"/>
  <c r="K155" i="93"/>
  <c r="I155" i="93"/>
  <c r="H155" i="93"/>
  <c r="G155" i="93"/>
  <c r="E155" i="93"/>
  <c r="C155" i="93"/>
  <c r="K154" i="93"/>
  <c r="I154" i="93"/>
  <c r="H154" i="93"/>
  <c r="G154" i="93"/>
  <c r="E154" i="93"/>
  <c r="C154" i="93"/>
  <c r="K153" i="93"/>
  <c r="I153" i="93"/>
  <c r="H153" i="93"/>
  <c r="G153" i="93"/>
  <c r="E153" i="93"/>
  <c r="C153" i="93"/>
  <c r="K152" i="93"/>
  <c r="I152" i="93"/>
  <c r="H152" i="93"/>
  <c r="G152" i="93"/>
  <c r="E152" i="93"/>
  <c r="C152" i="93"/>
  <c r="K151" i="93"/>
  <c r="I151" i="93"/>
  <c r="H151" i="93"/>
  <c r="G151" i="93"/>
  <c r="E151" i="93"/>
  <c r="C151" i="93"/>
  <c r="K150" i="93"/>
  <c r="I150" i="93"/>
  <c r="H150" i="93"/>
  <c r="G150" i="93"/>
  <c r="E150" i="93"/>
  <c r="C150" i="93"/>
  <c r="K149" i="93"/>
  <c r="I149" i="93"/>
  <c r="H149" i="93"/>
  <c r="G149" i="93"/>
  <c r="E149" i="93"/>
  <c r="C149" i="93"/>
  <c r="K148" i="93"/>
  <c r="I148" i="93"/>
  <c r="H148" i="93"/>
  <c r="G148" i="93"/>
  <c r="E148" i="93"/>
  <c r="C148" i="93"/>
  <c r="K147" i="93"/>
  <c r="I147" i="93"/>
  <c r="H147" i="93"/>
  <c r="G147" i="93"/>
  <c r="E147" i="93"/>
  <c r="C147" i="93"/>
  <c r="K146" i="93"/>
  <c r="I146" i="93"/>
  <c r="H146" i="93"/>
  <c r="G146" i="93"/>
  <c r="E146" i="93"/>
  <c r="C146" i="93"/>
  <c r="K145" i="93"/>
  <c r="I145" i="93"/>
  <c r="H145" i="93"/>
  <c r="G145" i="93"/>
  <c r="E145" i="93"/>
  <c r="C145" i="93"/>
  <c r="K144" i="93"/>
  <c r="I144" i="93"/>
  <c r="H144" i="93"/>
  <c r="G144" i="93"/>
  <c r="E144" i="93"/>
  <c r="C144" i="93"/>
  <c r="K143" i="93"/>
  <c r="I143" i="93"/>
  <c r="H143" i="93"/>
  <c r="G143" i="93"/>
  <c r="E143" i="93"/>
  <c r="C143" i="93"/>
  <c r="K142" i="93"/>
  <c r="I142" i="93"/>
  <c r="H142" i="93"/>
  <c r="G142" i="93"/>
  <c r="E142" i="93"/>
  <c r="C142" i="93"/>
  <c r="K141" i="93"/>
  <c r="I141" i="93"/>
  <c r="H141" i="93"/>
  <c r="G141" i="93"/>
  <c r="E141" i="93"/>
  <c r="C141" i="93"/>
  <c r="K140" i="93"/>
  <c r="I140" i="93"/>
  <c r="H140" i="93"/>
  <c r="G140" i="93"/>
  <c r="E140" i="93"/>
  <c r="C140" i="93"/>
  <c r="K139" i="93"/>
  <c r="I139" i="93"/>
  <c r="H139" i="93"/>
  <c r="G139" i="93"/>
  <c r="E139" i="93"/>
  <c r="C139" i="93"/>
  <c r="K138" i="93"/>
  <c r="I138" i="93"/>
  <c r="H138" i="93"/>
  <c r="G138" i="93"/>
  <c r="E138" i="93"/>
  <c r="C138" i="93"/>
  <c r="K137" i="93"/>
  <c r="I137" i="93"/>
  <c r="H137" i="93"/>
  <c r="G137" i="93"/>
  <c r="E137" i="93"/>
  <c r="C137" i="93"/>
  <c r="K136" i="93"/>
  <c r="I136" i="93"/>
  <c r="H136" i="93"/>
  <c r="G136" i="93"/>
  <c r="E136" i="93"/>
  <c r="C136" i="93"/>
  <c r="K135" i="93"/>
  <c r="I135" i="93"/>
  <c r="H135" i="93"/>
  <c r="G135" i="93"/>
  <c r="E135" i="93"/>
  <c r="C135" i="93"/>
  <c r="K134" i="93"/>
  <c r="I134" i="93"/>
  <c r="H134" i="93"/>
  <c r="G134" i="93"/>
  <c r="E134" i="93"/>
  <c r="C134" i="93"/>
  <c r="K133" i="93"/>
  <c r="I133" i="93"/>
  <c r="H133" i="93"/>
  <c r="G133" i="93"/>
  <c r="E133" i="93"/>
  <c r="C133" i="93"/>
  <c r="K132" i="93"/>
  <c r="I132" i="93"/>
  <c r="H132" i="93"/>
  <c r="G132" i="93"/>
  <c r="E132" i="93"/>
  <c r="C132" i="93"/>
  <c r="K131" i="93"/>
  <c r="I131" i="93"/>
  <c r="H131" i="93"/>
  <c r="G131" i="93"/>
  <c r="E131" i="93"/>
  <c r="C131" i="93"/>
  <c r="K130" i="93"/>
  <c r="I130" i="93"/>
  <c r="H130" i="93"/>
  <c r="G130" i="93"/>
  <c r="E130" i="93"/>
  <c r="C130" i="93"/>
  <c r="K129" i="93"/>
  <c r="I129" i="93"/>
  <c r="H129" i="93"/>
  <c r="G129" i="93"/>
  <c r="E129" i="93"/>
  <c r="C129" i="93"/>
  <c r="K128" i="93"/>
  <c r="I128" i="93"/>
  <c r="H128" i="93"/>
  <c r="G128" i="93"/>
  <c r="E128" i="93"/>
  <c r="C128" i="93"/>
  <c r="K127" i="93"/>
  <c r="I127" i="93"/>
  <c r="H127" i="93"/>
  <c r="G127" i="93"/>
  <c r="E127" i="93"/>
  <c r="C127" i="93"/>
  <c r="K126" i="93"/>
  <c r="I126" i="93"/>
  <c r="H126" i="93"/>
  <c r="G126" i="93"/>
  <c r="E126" i="93"/>
  <c r="C126" i="93"/>
  <c r="K125" i="93"/>
  <c r="I125" i="93"/>
  <c r="H125" i="93"/>
  <c r="G125" i="93"/>
  <c r="E125" i="93"/>
  <c r="C125" i="93"/>
  <c r="K124" i="93"/>
  <c r="I124" i="93"/>
  <c r="H124" i="93"/>
  <c r="G124" i="93"/>
  <c r="E124" i="93"/>
  <c r="C124" i="93"/>
  <c r="K123" i="93"/>
  <c r="I123" i="93"/>
  <c r="H123" i="93"/>
  <c r="G123" i="93"/>
  <c r="E123" i="93"/>
  <c r="C123" i="93"/>
  <c r="K122" i="93"/>
  <c r="I122" i="93"/>
  <c r="H122" i="93"/>
  <c r="G122" i="93"/>
  <c r="E122" i="93"/>
  <c r="C122" i="93"/>
  <c r="K121" i="93"/>
  <c r="I121" i="93"/>
  <c r="H121" i="93"/>
  <c r="G121" i="93"/>
  <c r="E121" i="93"/>
  <c r="C121" i="93"/>
  <c r="K120" i="93"/>
  <c r="I120" i="93"/>
  <c r="H120" i="93"/>
  <c r="G120" i="93"/>
  <c r="E120" i="93"/>
  <c r="C120" i="93"/>
  <c r="K119" i="93"/>
  <c r="I119" i="93"/>
  <c r="H119" i="93"/>
  <c r="G119" i="93"/>
  <c r="E119" i="93"/>
  <c r="C119" i="93"/>
  <c r="K118" i="93"/>
  <c r="I118" i="93"/>
  <c r="H118" i="93"/>
  <c r="G118" i="93"/>
  <c r="E118" i="93"/>
  <c r="C118" i="93"/>
  <c r="K117" i="93"/>
  <c r="I117" i="93"/>
  <c r="H117" i="93"/>
  <c r="G117" i="93"/>
  <c r="E117" i="93"/>
  <c r="C117" i="93"/>
  <c r="K116" i="93"/>
  <c r="I116" i="93"/>
  <c r="H116" i="93"/>
  <c r="G116" i="93"/>
  <c r="E116" i="93"/>
  <c r="C116" i="93"/>
  <c r="K115" i="93"/>
  <c r="I115" i="93"/>
  <c r="H115" i="93"/>
  <c r="G115" i="93"/>
  <c r="E115" i="93"/>
  <c r="C115" i="93"/>
  <c r="K114" i="93"/>
  <c r="I114" i="93"/>
  <c r="H114" i="93"/>
  <c r="G114" i="93"/>
  <c r="E114" i="93"/>
  <c r="C114" i="93"/>
  <c r="K113" i="93"/>
  <c r="I113" i="93"/>
  <c r="H113" i="93"/>
  <c r="G113" i="93"/>
  <c r="E113" i="93"/>
  <c r="C113" i="93"/>
  <c r="K112" i="93"/>
  <c r="I112" i="93"/>
  <c r="H112" i="93"/>
  <c r="G112" i="93"/>
  <c r="E112" i="93"/>
  <c r="C112" i="93"/>
  <c r="K111" i="93"/>
  <c r="I111" i="93"/>
  <c r="H111" i="93"/>
  <c r="G111" i="93"/>
  <c r="E111" i="93"/>
  <c r="C111" i="93"/>
  <c r="K110" i="93"/>
  <c r="I110" i="93"/>
  <c r="H110" i="93"/>
  <c r="G110" i="93"/>
  <c r="E110" i="93"/>
  <c r="C110" i="93"/>
  <c r="K109" i="93"/>
  <c r="I109" i="93"/>
  <c r="H109" i="93"/>
  <c r="G109" i="93"/>
  <c r="E109" i="93"/>
  <c r="C109" i="93"/>
  <c r="K108" i="93"/>
  <c r="I108" i="93"/>
  <c r="H108" i="93"/>
  <c r="G108" i="93"/>
  <c r="E108" i="93"/>
  <c r="C108" i="93"/>
  <c r="K107" i="93"/>
  <c r="I107" i="93"/>
  <c r="H107" i="93"/>
  <c r="G107" i="93"/>
  <c r="E107" i="93"/>
  <c r="C107" i="93"/>
  <c r="K106" i="93"/>
  <c r="I106" i="93"/>
  <c r="H106" i="93"/>
  <c r="G106" i="93"/>
  <c r="E106" i="93"/>
  <c r="C106" i="93"/>
  <c r="K105" i="93"/>
  <c r="I105" i="93"/>
  <c r="H105" i="93"/>
  <c r="G105" i="93"/>
  <c r="E105" i="93"/>
  <c r="C105" i="93"/>
  <c r="K104" i="93"/>
  <c r="I104" i="93"/>
  <c r="H104" i="93"/>
  <c r="G104" i="93"/>
  <c r="E104" i="93"/>
  <c r="C104" i="93"/>
  <c r="K103" i="93"/>
  <c r="I103" i="93"/>
  <c r="H103" i="93"/>
  <c r="G103" i="93"/>
  <c r="E103" i="93"/>
  <c r="C103" i="93"/>
  <c r="K102" i="93"/>
  <c r="I102" i="93"/>
  <c r="H102" i="93"/>
  <c r="G102" i="93"/>
  <c r="E102" i="93"/>
  <c r="C102" i="93"/>
  <c r="K101" i="93"/>
  <c r="I101" i="93"/>
  <c r="H101" i="93"/>
  <c r="G101" i="93"/>
  <c r="E101" i="93"/>
  <c r="C101" i="93"/>
  <c r="K100" i="93"/>
  <c r="I100" i="93"/>
  <c r="H100" i="93"/>
  <c r="G100" i="93"/>
  <c r="E100" i="93"/>
  <c r="C100" i="93"/>
  <c r="K99" i="93"/>
  <c r="I99" i="93"/>
  <c r="H99" i="93"/>
  <c r="G99" i="93"/>
  <c r="E99" i="93"/>
  <c r="C99" i="93"/>
  <c r="K98" i="93"/>
  <c r="I98" i="93"/>
  <c r="H98" i="93"/>
  <c r="G98" i="93"/>
  <c r="E98" i="93"/>
  <c r="C98" i="93"/>
  <c r="K97" i="93"/>
  <c r="I97" i="93"/>
  <c r="H97" i="93"/>
  <c r="G97" i="93"/>
  <c r="E97" i="93"/>
  <c r="C97" i="93"/>
  <c r="K96" i="93"/>
  <c r="I96" i="93"/>
  <c r="H96" i="93"/>
  <c r="G96" i="93"/>
  <c r="E96" i="93"/>
  <c r="C96" i="93"/>
  <c r="K95" i="93"/>
  <c r="I95" i="93"/>
  <c r="H95" i="93"/>
  <c r="G95" i="93"/>
  <c r="E95" i="93"/>
  <c r="C95" i="93"/>
  <c r="K94" i="93"/>
  <c r="I94" i="93"/>
  <c r="H94" i="93"/>
  <c r="G94" i="93"/>
  <c r="E94" i="93"/>
  <c r="C94" i="93"/>
  <c r="K93" i="93"/>
  <c r="I93" i="93"/>
  <c r="H93" i="93"/>
  <c r="G93" i="93"/>
  <c r="E93" i="93"/>
  <c r="C93" i="93"/>
  <c r="K92" i="93"/>
  <c r="I92" i="93"/>
  <c r="H92" i="93"/>
  <c r="G92" i="93"/>
  <c r="E92" i="93"/>
  <c r="C92" i="93"/>
  <c r="K91" i="93"/>
  <c r="I91" i="93"/>
  <c r="H91" i="93"/>
  <c r="G91" i="93"/>
  <c r="E91" i="93"/>
  <c r="C91" i="93"/>
  <c r="K90" i="93"/>
  <c r="I90" i="93"/>
  <c r="H90" i="93"/>
  <c r="G90" i="93"/>
  <c r="E90" i="93"/>
  <c r="C90" i="93"/>
  <c r="K89" i="93"/>
  <c r="I89" i="93"/>
  <c r="H89" i="93"/>
  <c r="G89" i="93"/>
  <c r="E89" i="93"/>
  <c r="C89" i="93"/>
  <c r="K88" i="93"/>
  <c r="I88" i="93"/>
  <c r="H88" i="93"/>
  <c r="G88" i="93"/>
  <c r="E88" i="93"/>
  <c r="C88" i="93"/>
  <c r="K87" i="93"/>
  <c r="I87" i="93"/>
  <c r="H87" i="93"/>
  <c r="G87" i="93"/>
  <c r="E87" i="93"/>
  <c r="C87" i="93"/>
  <c r="K86" i="93"/>
  <c r="I86" i="93"/>
  <c r="H86" i="93"/>
  <c r="G86" i="93"/>
  <c r="E86" i="93"/>
  <c r="C86" i="93"/>
  <c r="K85" i="93"/>
  <c r="I85" i="93"/>
  <c r="H85" i="93"/>
  <c r="G85" i="93"/>
  <c r="E85" i="93"/>
  <c r="C85" i="93"/>
  <c r="K84" i="93"/>
  <c r="I84" i="93"/>
  <c r="H84" i="93"/>
  <c r="G84" i="93"/>
  <c r="E84" i="93"/>
  <c r="C84" i="93"/>
  <c r="K83" i="93"/>
  <c r="I83" i="93"/>
  <c r="H83" i="93"/>
  <c r="G83" i="93"/>
  <c r="E83" i="93"/>
  <c r="C83" i="93"/>
  <c r="K82" i="93"/>
  <c r="I82" i="93"/>
  <c r="H82" i="93"/>
  <c r="G82" i="93"/>
  <c r="E82" i="93"/>
  <c r="C82" i="93"/>
  <c r="K81" i="93"/>
  <c r="I81" i="93"/>
  <c r="H81" i="93"/>
  <c r="G81" i="93"/>
  <c r="E81" i="93"/>
  <c r="C81" i="93"/>
  <c r="K80" i="93"/>
  <c r="I80" i="93"/>
  <c r="H80" i="93"/>
  <c r="G80" i="93"/>
  <c r="E80" i="93"/>
  <c r="C80" i="93"/>
  <c r="K79" i="93"/>
  <c r="I79" i="93"/>
  <c r="H79" i="93"/>
  <c r="G79" i="93"/>
  <c r="E79" i="93"/>
  <c r="C79" i="93"/>
  <c r="K78" i="93"/>
  <c r="I78" i="93"/>
  <c r="H78" i="93"/>
  <c r="G78" i="93"/>
  <c r="E78" i="93"/>
  <c r="C78" i="93"/>
  <c r="K77" i="93"/>
  <c r="I77" i="93"/>
  <c r="H77" i="93"/>
  <c r="G77" i="93"/>
  <c r="E77" i="93"/>
  <c r="C77" i="93"/>
  <c r="K76" i="93"/>
  <c r="I76" i="93"/>
  <c r="H76" i="93"/>
  <c r="G76" i="93"/>
  <c r="E76" i="93"/>
  <c r="C76" i="93"/>
  <c r="K75" i="93"/>
  <c r="I75" i="93"/>
  <c r="H75" i="93"/>
  <c r="G75" i="93"/>
  <c r="E75" i="93"/>
  <c r="C75" i="93"/>
  <c r="K74" i="93"/>
  <c r="I74" i="93"/>
  <c r="H74" i="93"/>
  <c r="G74" i="93"/>
  <c r="E74" i="93"/>
  <c r="C74" i="93"/>
  <c r="K73" i="93"/>
  <c r="I73" i="93"/>
  <c r="H73" i="93"/>
  <c r="G73" i="93"/>
  <c r="E73" i="93"/>
  <c r="C73" i="93"/>
  <c r="K72" i="93"/>
  <c r="I72" i="93"/>
  <c r="H72" i="93"/>
  <c r="G72" i="93"/>
  <c r="E72" i="93"/>
  <c r="C72" i="93"/>
  <c r="K71" i="93"/>
  <c r="I71" i="93"/>
  <c r="H71" i="93"/>
  <c r="G71" i="93"/>
  <c r="E71" i="93"/>
  <c r="C71" i="93"/>
  <c r="K70" i="93"/>
  <c r="I70" i="93"/>
  <c r="H70" i="93"/>
  <c r="G70" i="93"/>
  <c r="E70" i="93"/>
  <c r="C70" i="93"/>
  <c r="K69" i="93"/>
  <c r="I69" i="93"/>
  <c r="H69" i="93"/>
  <c r="G69" i="93"/>
  <c r="E69" i="93"/>
  <c r="C69" i="93"/>
  <c r="K68" i="93"/>
  <c r="I68" i="93"/>
  <c r="H68" i="93"/>
  <c r="G68" i="93"/>
  <c r="E68" i="93"/>
  <c r="C68" i="93"/>
  <c r="K67" i="93"/>
  <c r="I67" i="93"/>
  <c r="H67" i="93"/>
  <c r="G67" i="93"/>
  <c r="E67" i="93"/>
  <c r="C67" i="93"/>
  <c r="K66" i="93"/>
  <c r="I66" i="93"/>
  <c r="H66" i="93"/>
  <c r="G66" i="93"/>
  <c r="E66" i="93"/>
  <c r="C66" i="93"/>
  <c r="K65" i="93"/>
  <c r="I65" i="93"/>
  <c r="H65" i="93"/>
  <c r="G65" i="93"/>
  <c r="E65" i="93"/>
  <c r="C65" i="93"/>
  <c r="K64" i="93"/>
  <c r="I64" i="93"/>
  <c r="H64" i="93"/>
  <c r="G64" i="93"/>
  <c r="E64" i="93"/>
  <c r="C64" i="93"/>
  <c r="K63" i="93"/>
  <c r="I63" i="93"/>
  <c r="H63" i="93"/>
  <c r="G63" i="93"/>
  <c r="E63" i="93"/>
  <c r="C63" i="93"/>
  <c r="K62" i="93"/>
  <c r="I62" i="93"/>
  <c r="H62" i="93"/>
  <c r="G62" i="93"/>
  <c r="E62" i="93"/>
  <c r="C62" i="93"/>
  <c r="K61" i="93"/>
  <c r="I61" i="93"/>
  <c r="H61" i="93"/>
  <c r="G61" i="93"/>
  <c r="E61" i="93"/>
  <c r="C61" i="93"/>
  <c r="K60" i="93"/>
  <c r="I60" i="93"/>
  <c r="H60" i="93"/>
  <c r="G60" i="93"/>
  <c r="E60" i="93"/>
  <c r="C60" i="93"/>
  <c r="K59" i="93"/>
  <c r="I59" i="93"/>
  <c r="H59" i="93"/>
  <c r="G59" i="93"/>
  <c r="E59" i="93"/>
  <c r="C59" i="93"/>
  <c r="K58" i="93"/>
  <c r="I58" i="93"/>
  <c r="H58" i="93"/>
  <c r="G58" i="93"/>
  <c r="E58" i="93"/>
  <c r="C58" i="93"/>
  <c r="K57" i="93"/>
  <c r="I57" i="93"/>
  <c r="H57" i="93"/>
  <c r="G57" i="93"/>
  <c r="E57" i="93"/>
  <c r="C57" i="93"/>
  <c r="K56" i="93"/>
  <c r="I56" i="93"/>
  <c r="H56" i="93"/>
  <c r="G56" i="93"/>
  <c r="E56" i="93"/>
  <c r="C56" i="93"/>
  <c r="K55" i="93"/>
  <c r="I55" i="93"/>
  <c r="H55" i="93"/>
  <c r="G55" i="93"/>
  <c r="E55" i="93"/>
  <c r="C55" i="93"/>
  <c r="K54" i="93"/>
  <c r="I54" i="93"/>
  <c r="H54" i="93"/>
  <c r="G54" i="93"/>
  <c r="E54" i="93"/>
  <c r="C54" i="93"/>
  <c r="K53" i="93"/>
  <c r="I53" i="93"/>
  <c r="H53" i="93"/>
  <c r="G53" i="93"/>
  <c r="E53" i="93"/>
  <c r="C53" i="93"/>
  <c r="K52" i="93"/>
  <c r="I52" i="93"/>
  <c r="H52" i="93"/>
  <c r="G52" i="93"/>
  <c r="E52" i="93"/>
  <c r="C52" i="93"/>
  <c r="K51" i="93"/>
  <c r="I51" i="93"/>
  <c r="H51" i="93"/>
  <c r="G51" i="93"/>
  <c r="E51" i="93"/>
  <c r="C51" i="93"/>
  <c r="K50" i="93"/>
  <c r="I50" i="93"/>
  <c r="H50" i="93"/>
  <c r="G50" i="93"/>
  <c r="E50" i="93"/>
  <c r="C50" i="93"/>
  <c r="K49" i="93"/>
  <c r="I49" i="93"/>
  <c r="H49" i="93"/>
  <c r="G49" i="93"/>
  <c r="E49" i="93"/>
  <c r="C49" i="93"/>
  <c r="K48" i="93"/>
  <c r="I48" i="93"/>
  <c r="H48" i="93"/>
  <c r="G48" i="93"/>
  <c r="E48" i="93"/>
  <c r="C48" i="93"/>
  <c r="K47" i="93"/>
  <c r="I47" i="93"/>
  <c r="H47" i="93"/>
  <c r="G47" i="93"/>
  <c r="E47" i="93"/>
  <c r="C47" i="93"/>
  <c r="K46" i="93"/>
  <c r="I46" i="93"/>
  <c r="H46" i="93"/>
  <c r="G46" i="93"/>
  <c r="E46" i="93"/>
  <c r="C46" i="93"/>
  <c r="K45" i="93"/>
  <c r="I45" i="93"/>
  <c r="H45" i="93"/>
  <c r="G45" i="93"/>
  <c r="E45" i="93"/>
  <c r="C45" i="93"/>
  <c r="K44" i="93"/>
  <c r="I44" i="93"/>
  <c r="H44" i="93"/>
  <c r="G44" i="93"/>
  <c r="E44" i="93"/>
  <c r="C44" i="93"/>
  <c r="K43" i="93"/>
  <c r="I43" i="93"/>
  <c r="H43" i="93"/>
  <c r="G43" i="93"/>
  <c r="E43" i="93"/>
  <c r="C43" i="93"/>
  <c r="K42" i="93"/>
  <c r="I42" i="93"/>
  <c r="H42" i="93"/>
  <c r="G42" i="93"/>
  <c r="E42" i="93"/>
  <c r="C42" i="93"/>
  <c r="K41" i="93"/>
  <c r="I41" i="93"/>
  <c r="H41" i="93"/>
  <c r="G41" i="93"/>
  <c r="E41" i="93"/>
  <c r="C41" i="93"/>
  <c r="K40" i="93"/>
  <c r="I40" i="93"/>
  <c r="H40" i="93"/>
  <c r="G40" i="93"/>
  <c r="E40" i="93"/>
  <c r="C40" i="93"/>
  <c r="K39" i="93"/>
  <c r="I39" i="93"/>
  <c r="H39" i="93"/>
  <c r="G39" i="93"/>
  <c r="E39" i="93"/>
  <c r="C39" i="93"/>
  <c r="K38" i="93"/>
  <c r="I38" i="93"/>
  <c r="H38" i="93"/>
  <c r="G38" i="93"/>
  <c r="E38" i="93"/>
  <c r="C38" i="93"/>
  <c r="K37" i="93"/>
  <c r="I37" i="93"/>
  <c r="H37" i="93"/>
  <c r="G37" i="93"/>
  <c r="E37" i="93"/>
  <c r="C37" i="93"/>
  <c r="K36" i="93"/>
  <c r="I36" i="93"/>
  <c r="H36" i="93"/>
  <c r="G36" i="93"/>
  <c r="E36" i="93"/>
  <c r="C36" i="93"/>
  <c r="K35" i="93"/>
  <c r="I35" i="93"/>
  <c r="H35" i="93"/>
  <c r="G35" i="93"/>
  <c r="E35" i="93"/>
  <c r="C35" i="93"/>
  <c r="K34" i="93"/>
  <c r="I34" i="93"/>
  <c r="H34" i="93"/>
  <c r="G34" i="93"/>
  <c r="E34" i="93"/>
  <c r="C34" i="93"/>
  <c r="K33" i="93"/>
  <c r="I33" i="93"/>
  <c r="H33" i="93"/>
  <c r="G33" i="93"/>
  <c r="E33" i="93"/>
  <c r="C33" i="93"/>
  <c r="K32" i="93"/>
  <c r="I32" i="93"/>
  <c r="H32" i="93"/>
  <c r="G32" i="93"/>
  <c r="E32" i="93"/>
  <c r="C32" i="93"/>
  <c r="K31" i="93"/>
  <c r="I31" i="93"/>
  <c r="H31" i="93"/>
  <c r="G31" i="93"/>
  <c r="E31" i="93"/>
  <c r="C31" i="93"/>
  <c r="K30" i="93"/>
  <c r="I30" i="93"/>
  <c r="H30" i="93"/>
  <c r="G30" i="93"/>
  <c r="E30" i="93"/>
  <c r="C30" i="93"/>
  <c r="K29" i="93"/>
  <c r="I29" i="93"/>
  <c r="H29" i="93"/>
  <c r="G29" i="93"/>
  <c r="E29" i="93"/>
  <c r="C29" i="93"/>
  <c r="K28" i="93"/>
  <c r="I28" i="93"/>
  <c r="H28" i="93"/>
  <c r="G28" i="93"/>
  <c r="E28" i="93"/>
  <c r="C28" i="93"/>
  <c r="K27" i="93"/>
  <c r="I27" i="93"/>
  <c r="H27" i="93"/>
  <c r="G27" i="93"/>
  <c r="E27" i="93"/>
  <c r="C27" i="93"/>
  <c r="K26" i="93"/>
  <c r="I26" i="93"/>
  <c r="H26" i="93"/>
  <c r="G26" i="93"/>
  <c r="E26" i="93"/>
  <c r="C26" i="93"/>
  <c r="K25" i="93"/>
  <c r="I25" i="93"/>
  <c r="H25" i="93"/>
  <c r="G25" i="93"/>
  <c r="E25" i="93"/>
  <c r="C25" i="93"/>
  <c r="K24" i="93"/>
  <c r="I24" i="93"/>
  <c r="H24" i="93"/>
  <c r="G24" i="93"/>
  <c r="E24" i="93"/>
  <c r="C24" i="93"/>
  <c r="K23" i="93"/>
  <c r="I23" i="93"/>
  <c r="H23" i="93"/>
  <c r="G23" i="93"/>
  <c r="E23" i="93"/>
  <c r="C23" i="93"/>
  <c r="K22" i="93"/>
  <c r="I22" i="93"/>
  <c r="H22" i="93"/>
  <c r="G22" i="93"/>
  <c r="E22" i="93"/>
  <c r="C22" i="93"/>
  <c r="K21" i="93"/>
  <c r="I21" i="93"/>
  <c r="H21" i="93"/>
  <c r="G21" i="93"/>
  <c r="E21" i="93"/>
  <c r="C21" i="93"/>
  <c r="K20" i="93"/>
  <c r="I20" i="93"/>
  <c r="H20" i="93"/>
  <c r="G20" i="93"/>
  <c r="E20" i="93"/>
  <c r="C20" i="93"/>
  <c r="K19" i="93"/>
  <c r="I19" i="93"/>
  <c r="H19" i="93"/>
  <c r="G19" i="93"/>
  <c r="E19" i="93"/>
  <c r="C19" i="93"/>
  <c r="K18" i="93"/>
  <c r="I18" i="93"/>
  <c r="H18" i="93"/>
  <c r="G18" i="93"/>
  <c r="E18" i="93"/>
  <c r="C18" i="93"/>
  <c r="K17" i="93"/>
  <c r="I17" i="93"/>
  <c r="H17" i="93"/>
  <c r="G17" i="93"/>
  <c r="E17" i="93"/>
  <c r="C17" i="93"/>
  <c r="K16" i="93"/>
  <c r="I16" i="93"/>
  <c r="H16" i="93"/>
  <c r="G16" i="93"/>
  <c r="E16" i="93"/>
  <c r="C16" i="93"/>
  <c r="K15" i="93"/>
  <c r="I15" i="93"/>
  <c r="H15" i="93"/>
  <c r="G15" i="93"/>
  <c r="E15" i="93"/>
  <c r="C15" i="93"/>
  <c r="K14" i="93"/>
  <c r="I14" i="93"/>
  <c r="H14" i="93"/>
  <c r="G14" i="93"/>
  <c r="E14" i="93"/>
  <c r="C14" i="93"/>
  <c r="K13" i="93"/>
  <c r="I13" i="93"/>
  <c r="H13" i="93"/>
  <c r="G13" i="93"/>
  <c r="E13" i="93"/>
  <c r="C13" i="93"/>
  <c r="K12" i="93"/>
  <c r="I12" i="93"/>
  <c r="H12" i="93"/>
  <c r="G12" i="93"/>
  <c r="E12" i="93"/>
  <c r="C12" i="93"/>
  <c r="K11" i="93"/>
  <c r="I11" i="93"/>
  <c r="H11" i="93"/>
  <c r="G11" i="93"/>
  <c r="E11" i="93"/>
  <c r="C11" i="93"/>
  <c r="K10" i="93"/>
  <c r="I10" i="93"/>
  <c r="H10" i="93"/>
  <c r="G10" i="93"/>
  <c r="E10" i="93"/>
  <c r="C10" i="93"/>
  <c r="N21" i="92"/>
  <c r="S22" i="92"/>
  <c r="S19" i="92"/>
  <c r="S17" i="92"/>
  <c r="S16" i="92"/>
  <c r="S14" i="92"/>
  <c r="S10" i="92"/>
  <c r="R22" i="92"/>
  <c r="R20" i="92"/>
  <c r="R19" i="92"/>
  <c r="R17" i="92"/>
  <c r="R16" i="92"/>
  <c r="R14" i="92"/>
  <c r="R11" i="92"/>
  <c r="R10" i="92"/>
  <c r="Q22" i="92"/>
  <c r="Q20" i="92"/>
  <c r="Q19" i="92"/>
  <c r="Q17" i="92"/>
  <c r="Q16" i="92"/>
  <c r="Q14" i="92"/>
  <c r="Q11" i="92"/>
  <c r="Q10" i="92"/>
  <c r="P22" i="92"/>
  <c r="P20" i="92"/>
  <c r="P19" i="92"/>
  <c r="P17" i="92"/>
  <c r="P16" i="92"/>
  <c r="P14" i="92"/>
  <c r="P11" i="92"/>
  <c r="P10" i="92"/>
  <c r="O22" i="92"/>
  <c r="O20" i="92"/>
  <c r="O19" i="92"/>
  <c r="O17" i="92"/>
  <c r="O16" i="92"/>
  <c r="O14" i="92"/>
  <c r="O11" i="92"/>
  <c r="O10" i="92"/>
  <c r="N22" i="92"/>
  <c r="N20" i="92"/>
  <c r="N19" i="92"/>
  <c r="N17" i="92"/>
  <c r="N16" i="92"/>
  <c r="N14" i="92"/>
  <c r="N12" i="92"/>
  <c r="N11" i="92"/>
  <c r="N10" i="92"/>
  <c r="K73" i="92"/>
  <c r="I73" i="92"/>
  <c r="H73" i="92"/>
  <c r="G73" i="92"/>
  <c r="E73" i="92"/>
  <c r="C73" i="92"/>
  <c r="K72" i="92"/>
  <c r="I72" i="92"/>
  <c r="H72" i="92"/>
  <c r="G72" i="92"/>
  <c r="E72" i="92"/>
  <c r="C72" i="92"/>
  <c r="K71" i="92"/>
  <c r="I71" i="92"/>
  <c r="H71" i="92"/>
  <c r="G71" i="92"/>
  <c r="E71" i="92"/>
  <c r="C71" i="92"/>
  <c r="K70" i="92"/>
  <c r="I70" i="92"/>
  <c r="H70" i="92"/>
  <c r="G70" i="92"/>
  <c r="E70" i="92"/>
  <c r="C70" i="92"/>
  <c r="K69" i="92"/>
  <c r="I69" i="92"/>
  <c r="H69" i="92"/>
  <c r="G69" i="92"/>
  <c r="E69" i="92"/>
  <c r="C69" i="92"/>
  <c r="K68" i="92"/>
  <c r="I68" i="92"/>
  <c r="H68" i="92"/>
  <c r="G68" i="92"/>
  <c r="E68" i="92"/>
  <c r="C68" i="92"/>
  <c r="K67" i="92"/>
  <c r="I67" i="92"/>
  <c r="H67" i="92"/>
  <c r="G67" i="92"/>
  <c r="E67" i="92"/>
  <c r="C67" i="92"/>
  <c r="K66" i="92"/>
  <c r="I66" i="92"/>
  <c r="H66" i="92"/>
  <c r="G66" i="92"/>
  <c r="E66" i="92"/>
  <c r="C66" i="92"/>
  <c r="K65" i="92"/>
  <c r="I65" i="92"/>
  <c r="H65" i="92"/>
  <c r="G65" i="92"/>
  <c r="E65" i="92"/>
  <c r="C65" i="92"/>
  <c r="K64" i="92"/>
  <c r="I64" i="92"/>
  <c r="H64" i="92"/>
  <c r="G64" i="92"/>
  <c r="E64" i="92"/>
  <c r="C64" i="92"/>
  <c r="K63" i="92"/>
  <c r="I63" i="92"/>
  <c r="H63" i="92"/>
  <c r="G63" i="92"/>
  <c r="E63" i="92"/>
  <c r="C63" i="92"/>
  <c r="K62" i="92"/>
  <c r="I62" i="92"/>
  <c r="H62" i="92"/>
  <c r="G62" i="92"/>
  <c r="E62" i="92"/>
  <c r="C62" i="92"/>
  <c r="K61" i="92"/>
  <c r="I61" i="92"/>
  <c r="H61" i="92"/>
  <c r="G61" i="92"/>
  <c r="E61" i="92"/>
  <c r="C61" i="92"/>
  <c r="K60" i="92"/>
  <c r="I60" i="92"/>
  <c r="H60" i="92"/>
  <c r="G60" i="92"/>
  <c r="E60" i="92"/>
  <c r="C60" i="92"/>
  <c r="K59" i="92"/>
  <c r="I59" i="92"/>
  <c r="H59" i="92"/>
  <c r="G59" i="92"/>
  <c r="E59" i="92"/>
  <c r="C59" i="92"/>
  <c r="K58" i="92"/>
  <c r="I58" i="92"/>
  <c r="H58" i="92"/>
  <c r="G58" i="92"/>
  <c r="E58" i="92"/>
  <c r="C58" i="92"/>
  <c r="K57" i="92"/>
  <c r="I57" i="92"/>
  <c r="H57" i="92"/>
  <c r="G57" i="92"/>
  <c r="E57" i="92"/>
  <c r="C57" i="92"/>
  <c r="K56" i="92"/>
  <c r="I56" i="92"/>
  <c r="H56" i="92"/>
  <c r="G56" i="92"/>
  <c r="E56" i="92"/>
  <c r="C56" i="92"/>
  <c r="K55" i="92"/>
  <c r="I55" i="92"/>
  <c r="H55" i="92"/>
  <c r="G55" i="92"/>
  <c r="E55" i="92"/>
  <c r="C55" i="92"/>
  <c r="K54" i="92"/>
  <c r="I54" i="92"/>
  <c r="H54" i="92"/>
  <c r="G54" i="92"/>
  <c r="E54" i="92"/>
  <c r="C54" i="92"/>
  <c r="K53" i="92"/>
  <c r="I53" i="92"/>
  <c r="H53" i="92"/>
  <c r="G53" i="92"/>
  <c r="E53" i="92"/>
  <c r="C53" i="92"/>
  <c r="K52" i="92"/>
  <c r="I52" i="92"/>
  <c r="H52" i="92"/>
  <c r="G52" i="92"/>
  <c r="E52" i="92"/>
  <c r="C52" i="92"/>
  <c r="K51" i="92"/>
  <c r="I51" i="92"/>
  <c r="H51" i="92"/>
  <c r="G51" i="92"/>
  <c r="E51" i="92"/>
  <c r="C51" i="92"/>
  <c r="K50" i="92"/>
  <c r="I50" i="92"/>
  <c r="H50" i="92"/>
  <c r="G50" i="92"/>
  <c r="E50" i="92"/>
  <c r="C50" i="92"/>
  <c r="K49" i="92"/>
  <c r="I49" i="92"/>
  <c r="H49" i="92"/>
  <c r="G49" i="92"/>
  <c r="E49" i="92"/>
  <c r="C49" i="92"/>
  <c r="K48" i="92"/>
  <c r="I48" i="92"/>
  <c r="H48" i="92"/>
  <c r="G48" i="92"/>
  <c r="E48" i="92"/>
  <c r="C48" i="92"/>
  <c r="K47" i="92"/>
  <c r="I47" i="92"/>
  <c r="H47" i="92"/>
  <c r="G47" i="92"/>
  <c r="E47" i="92"/>
  <c r="C47" i="92"/>
  <c r="K46" i="92"/>
  <c r="I46" i="92"/>
  <c r="H46" i="92"/>
  <c r="G46" i="92"/>
  <c r="E46" i="92"/>
  <c r="C46" i="92"/>
  <c r="K45" i="92"/>
  <c r="I45" i="92"/>
  <c r="H45" i="92"/>
  <c r="G45" i="92"/>
  <c r="E45" i="92"/>
  <c r="C45" i="92"/>
  <c r="K44" i="92"/>
  <c r="I44" i="92"/>
  <c r="H44" i="92"/>
  <c r="G44" i="92"/>
  <c r="E44" i="92"/>
  <c r="C44" i="92"/>
  <c r="K43" i="92"/>
  <c r="I43" i="92"/>
  <c r="H43" i="92"/>
  <c r="G43" i="92"/>
  <c r="E43" i="92"/>
  <c r="C43" i="92"/>
  <c r="K42" i="92"/>
  <c r="I42" i="92"/>
  <c r="H42" i="92"/>
  <c r="G42" i="92"/>
  <c r="E42" i="92"/>
  <c r="C42" i="92"/>
  <c r="K41" i="92"/>
  <c r="I41" i="92"/>
  <c r="H41" i="92"/>
  <c r="G41" i="92"/>
  <c r="E41" i="92"/>
  <c r="C41" i="92"/>
  <c r="K40" i="92"/>
  <c r="I40" i="92"/>
  <c r="H40" i="92"/>
  <c r="G40" i="92"/>
  <c r="E40" i="92"/>
  <c r="C40" i="92"/>
  <c r="K39" i="92"/>
  <c r="I39" i="92"/>
  <c r="H39" i="92"/>
  <c r="G39" i="92"/>
  <c r="E39" i="92"/>
  <c r="C39" i="92"/>
  <c r="K38" i="92"/>
  <c r="I38" i="92"/>
  <c r="H38" i="92"/>
  <c r="G38" i="92"/>
  <c r="E38" i="92"/>
  <c r="C38" i="92"/>
  <c r="K37" i="92"/>
  <c r="I37" i="92"/>
  <c r="H37" i="92"/>
  <c r="G37" i="92"/>
  <c r="E37" i="92"/>
  <c r="C37" i="92"/>
  <c r="K36" i="92"/>
  <c r="I36" i="92"/>
  <c r="H36" i="92"/>
  <c r="G36" i="92"/>
  <c r="E36" i="92"/>
  <c r="C36" i="92"/>
  <c r="K35" i="92"/>
  <c r="I35" i="92"/>
  <c r="H35" i="92"/>
  <c r="G35" i="92"/>
  <c r="E35" i="92"/>
  <c r="C35" i="92"/>
  <c r="K34" i="92"/>
  <c r="I34" i="92"/>
  <c r="H34" i="92"/>
  <c r="G34" i="92"/>
  <c r="E34" i="92"/>
  <c r="C34" i="92"/>
  <c r="K33" i="92"/>
  <c r="I33" i="92"/>
  <c r="H33" i="92"/>
  <c r="G33" i="92"/>
  <c r="E33" i="92"/>
  <c r="C33" i="92"/>
  <c r="K32" i="92"/>
  <c r="I32" i="92"/>
  <c r="H32" i="92"/>
  <c r="G32" i="92"/>
  <c r="E32" i="92"/>
  <c r="C32" i="92"/>
  <c r="K31" i="92"/>
  <c r="I31" i="92"/>
  <c r="H31" i="92"/>
  <c r="G31" i="92"/>
  <c r="E31" i="92"/>
  <c r="C31" i="92"/>
  <c r="K30" i="92"/>
  <c r="I30" i="92"/>
  <c r="H30" i="92"/>
  <c r="G30" i="92"/>
  <c r="E30" i="92"/>
  <c r="C30" i="92"/>
  <c r="K29" i="92"/>
  <c r="I29" i="92"/>
  <c r="H29" i="92"/>
  <c r="G29" i="92"/>
  <c r="E29" i="92"/>
  <c r="C29" i="92"/>
  <c r="K28" i="92"/>
  <c r="I28" i="92"/>
  <c r="H28" i="92"/>
  <c r="G28" i="92"/>
  <c r="E28" i="92"/>
  <c r="C28" i="92"/>
  <c r="K27" i="92"/>
  <c r="I27" i="92"/>
  <c r="H27" i="92"/>
  <c r="G27" i="92"/>
  <c r="E27" i="92"/>
  <c r="C27" i="92"/>
  <c r="K26" i="92"/>
  <c r="I26" i="92"/>
  <c r="H26" i="92"/>
  <c r="G26" i="92"/>
  <c r="E26" i="92"/>
  <c r="C26" i="92"/>
  <c r="K25" i="92"/>
  <c r="I25" i="92"/>
  <c r="H25" i="92"/>
  <c r="G25" i="92"/>
  <c r="E25" i="92"/>
  <c r="C25" i="92"/>
  <c r="K24" i="92"/>
  <c r="I24" i="92"/>
  <c r="H24" i="92"/>
  <c r="G24" i="92"/>
  <c r="E24" i="92"/>
  <c r="C24" i="92"/>
  <c r="K23" i="92"/>
  <c r="I23" i="92"/>
  <c r="H23" i="92"/>
  <c r="G23" i="92"/>
  <c r="E23" i="92"/>
  <c r="C23" i="92"/>
  <c r="K22" i="92"/>
  <c r="I22" i="92"/>
  <c r="H22" i="92"/>
  <c r="G22" i="92"/>
  <c r="E22" i="92"/>
  <c r="C22" i="92"/>
  <c r="K21" i="92"/>
  <c r="I21" i="92"/>
  <c r="H21" i="92"/>
  <c r="G21" i="92"/>
  <c r="E21" i="92"/>
  <c r="C21" i="92"/>
  <c r="K20" i="92"/>
  <c r="I20" i="92"/>
  <c r="H20" i="92"/>
  <c r="G20" i="92"/>
  <c r="E20" i="92"/>
  <c r="C20" i="92"/>
  <c r="K19" i="92"/>
  <c r="I19" i="92"/>
  <c r="H19" i="92"/>
  <c r="G19" i="92"/>
  <c r="E19" i="92"/>
  <c r="C19" i="92"/>
  <c r="K18" i="92"/>
  <c r="I18" i="92"/>
  <c r="H18" i="92"/>
  <c r="G18" i="92"/>
  <c r="E18" i="92"/>
  <c r="C18" i="92"/>
  <c r="K17" i="92"/>
  <c r="I17" i="92"/>
  <c r="H17" i="92"/>
  <c r="G17" i="92"/>
  <c r="E17" i="92"/>
  <c r="C17" i="92"/>
  <c r="K16" i="92"/>
  <c r="I16" i="92"/>
  <c r="H16" i="92"/>
  <c r="G16" i="92"/>
  <c r="E16" i="92"/>
  <c r="C16" i="92"/>
  <c r="K15" i="92"/>
  <c r="I15" i="92"/>
  <c r="H15" i="92"/>
  <c r="G15" i="92"/>
  <c r="E15" i="92"/>
  <c r="C15" i="92"/>
  <c r="K14" i="92"/>
  <c r="I14" i="92"/>
  <c r="H14" i="92"/>
  <c r="G14" i="92"/>
  <c r="E14" i="92"/>
  <c r="C14" i="92"/>
  <c r="K13" i="92"/>
  <c r="I13" i="92"/>
  <c r="H13" i="92"/>
  <c r="G13" i="92"/>
  <c r="E13" i="92"/>
  <c r="C13" i="92"/>
  <c r="K12" i="92"/>
  <c r="I12" i="92"/>
  <c r="H12" i="92"/>
  <c r="G12" i="92"/>
  <c r="E12" i="92"/>
  <c r="C12" i="92"/>
  <c r="K11" i="92"/>
  <c r="I11" i="92"/>
  <c r="H11" i="92"/>
  <c r="G11" i="92"/>
  <c r="E11" i="92"/>
  <c r="C11" i="92"/>
  <c r="K10" i="92"/>
  <c r="I10" i="92"/>
  <c r="H10" i="92"/>
  <c r="G10" i="92"/>
  <c r="E10" i="92"/>
  <c r="C10" i="92"/>
  <c r="N16" i="91"/>
  <c r="S22" i="91"/>
  <c r="S19" i="91"/>
  <c r="S17" i="91"/>
  <c r="S16" i="91"/>
  <c r="S14" i="91"/>
  <c r="S10" i="91"/>
  <c r="R22" i="91"/>
  <c r="R20" i="91"/>
  <c r="R19" i="91"/>
  <c r="R17" i="91"/>
  <c r="R16" i="91"/>
  <c r="R14" i="91"/>
  <c r="R11" i="91"/>
  <c r="R10" i="91"/>
  <c r="Q22" i="91"/>
  <c r="Q20" i="91"/>
  <c r="Q19" i="91"/>
  <c r="Q17" i="91"/>
  <c r="Q16" i="91"/>
  <c r="Q14" i="91"/>
  <c r="Q11" i="91"/>
  <c r="Q10" i="91"/>
  <c r="P22" i="91"/>
  <c r="P20" i="91"/>
  <c r="P19" i="91"/>
  <c r="P17" i="91"/>
  <c r="P16" i="91"/>
  <c r="P14" i="91"/>
  <c r="P11" i="91"/>
  <c r="P10" i="91"/>
  <c r="O22" i="91"/>
  <c r="O20" i="91"/>
  <c r="O19" i="91"/>
  <c r="O17" i="91"/>
  <c r="O16" i="91"/>
  <c r="O14" i="91"/>
  <c r="O11" i="91"/>
  <c r="O10" i="91"/>
  <c r="N22" i="91"/>
  <c r="N21" i="91"/>
  <c r="N20" i="91"/>
  <c r="N19" i="91"/>
  <c r="N17" i="91"/>
  <c r="N14" i="91"/>
  <c r="N12" i="91"/>
  <c r="N11" i="91"/>
  <c r="N10" i="91"/>
  <c r="K73" i="91"/>
  <c r="I73" i="91"/>
  <c r="H73" i="91"/>
  <c r="G73" i="91"/>
  <c r="E73" i="91"/>
  <c r="C73" i="91"/>
  <c r="K72" i="91"/>
  <c r="I72" i="91"/>
  <c r="H72" i="91"/>
  <c r="G72" i="91"/>
  <c r="E72" i="91"/>
  <c r="C72" i="91"/>
  <c r="K71" i="91"/>
  <c r="I71" i="91"/>
  <c r="H71" i="91"/>
  <c r="G71" i="91"/>
  <c r="E71" i="91"/>
  <c r="C71" i="91"/>
  <c r="K70" i="91"/>
  <c r="I70" i="91"/>
  <c r="H70" i="91"/>
  <c r="G70" i="91"/>
  <c r="E70" i="91"/>
  <c r="C70" i="91"/>
  <c r="K69" i="91"/>
  <c r="I69" i="91"/>
  <c r="H69" i="91"/>
  <c r="G69" i="91"/>
  <c r="E69" i="91"/>
  <c r="C69" i="91"/>
  <c r="K68" i="91"/>
  <c r="I68" i="91"/>
  <c r="H68" i="91"/>
  <c r="G68" i="91"/>
  <c r="E68" i="91"/>
  <c r="C68" i="91"/>
  <c r="K67" i="91"/>
  <c r="I67" i="91"/>
  <c r="H67" i="91"/>
  <c r="G67" i="91"/>
  <c r="E67" i="91"/>
  <c r="C67" i="91"/>
  <c r="K66" i="91"/>
  <c r="I66" i="91"/>
  <c r="H66" i="91"/>
  <c r="G66" i="91"/>
  <c r="E66" i="91"/>
  <c r="C66" i="91"/>
  <c r="K65" i="91"/>
  <c r="I65" i="91"/>
  <c r="H65" i="91"/>
  <c r="G65" i="91"/>
  <c r="E65" i="91"/>
  <c r="C65" i="91"/>
  <c r="K64" i="91"/>
  <c r="I64" i="91"/>
  <c r="H64" i="91"/>
  <c r="G64" i="91"/>
  <c r="E64" i="91"/>
  <c r="C64" i="91"/>
  <c r="K63" i="91"/>
  <c r="I63" i="91"/>
  <c r="H63" i="91"/>
  <c r="G63" i="91"/>
  <c r="E63" i="91"/>
  <c r="C63" i="91"/>
  <c r="K62" i="91"/>
  <c r="I62" i="91"/>
  <c r="H62" i="91"/>
  <c r="G62" i="91"/>
  <c r="E62" i="91"/>
  <c r="C62" i="91"/>
  <c r="K61" i="91"/>
  <c r="I61" i="91"/>
  <c r="H61" i="91"/>
  <c r="G61" i="91"/>
  <c r="E61" i="91"/>
  <c r="C61" i="91"/>
  <c r="K60" i="91"/>
  <c r="I60" i="91"/>
  <c r="H60" i="91"/>
  <c r="G60" i="91"/>
  <c r="E60" i="91"/>
  <c r="C60" i="91"/>
  <c r="K59" i="91"/>
  <c r="I59" i="91"/>
  <c r="H59" i="91"/>
  <c r="G59" i="91"/>
  <c r="E59" i="91"/>
  <c r="C59" i="91"/>
  <c r="K58" i="91"/>
  <c r="I58" i="91"/>
  <c r="H58" i="91"/>
  <c r="G58" i="91"/>
  <c r="E58" i="91"/>
  <c r="C58" i="91"/>
  <c r="K57" i="91"/>
  <c r="I57" i="91"/>
  <c r="H57" i="91"/>
  <c r="G57" i="91"/>
  <c r="E57" i="91"/>
  <c r="C57" i="91"/>
  <c r="K56" i="91"/>
  <c r="I56" i="91"/>
  <c r="H56" i="91"/>
  <c r="G56" i="91"/>
  <c r="E56" i="91"/>
  <c r="C56" i="91"/>
  <c r="K55" i="91"/>
  <c r="I55" i="91"/>
  <c r="H55" i="91"/>
  <c r="G55" i="91"/>
  <c r="E55" i="91"/>
  <c r="C55" i="91"/>
  <c r="K54" i="91"/>
  <c r="I54" i="91"/>
  <c r="H54" i="91"/>
  <c r="G54" i="91"/>
  <c r="E54" i="91"/>
  <c r="C54" i="91"/>
  <c r="K53" i="91"/>
  <c r="I53" i="91"/>
  <c r="H53" i="91"/>
  <c r="G53" i="91"/>
  <c r="E53" i="91"/>
  <c r="C53" i="91"/>
  <c r="K52" i="91"/>
  <c r="I52" i="91"/>
  <c r="H52" i="91"/>
  <c r="G52" i="91"/>
  <c r="E52" i="91"/>
  <c r="C52" i="91"/>
  <c r="K51" i="91"/>
  <c r="I51" i="91"/>
  <c r="H51" i="91"/>
  <c r="G51" i="91"/>
  <c r="E51" i="91"/>
  <c r="C51" i="91"/>
  <c r="K50" i="91"/>
  <c r="I50" i="91"/>
  <c r="H50" i="91"/>
  <c r="G50" i="91"/>
  <c r="E50" i="91"/>
  <c r="C50" i="91"/>
  <c r="K49" i="91"/>
  <c r="I49" i="91"/>
  <c r="H49" i="91"/>
  <c r="G49" i="91"/>
  <c r="E49" i="91"/>
  <c r="C49" i="91"/>
  <c r="K48" i="91"/>
  <c r="I48" i="91"/>
  <c r="H48" i="91"/>
  <c r="G48" i="91"/>
  <c r="E48" i="91"/>
  <c r="C48" i="91"/>
  <c r="K47" i="91"/>
  <c r="I47" i="91"/>
  <c r="H47" i="91"/>
  <c r="G47" i="91"/>
  <c r="E47" i="91"/>
  <c r="C47" i="91"/>
  <c r="K46" i="91"/>
  <c r="I46" i="91"/>
  <c r="H46" i="91"/>
  <c r="G46" i="91"/>
  <c r="E46" i="91"/>
  <c r="C46" i="91"/>
  <c r="K45" i="91"/>
  <c r="I45" i="91"/>
  <c r="H45" i="91"/>
  <c r="G45" i="91"/>
  <c r="E45" i="91"/>
  <c r="C45" i="91"/>
  <c r="K44" i="91"/>
  <c r="I44" i="91"/>
  <c r="H44" i="91"/>
  <c r="G44" i="91"/>
  <c r="E44" i="91"/>
  <c r="C44" i="91"/>
  <c r="K43" i="91"/>
  <c r="I43" i="91"/>
  <c r="H43" i="91"/>
  <c r="G43" i="91"/>
  <c r="E43" i="91"/>
  <c r="C43" i="91"/>
  <c r="K42" i="91"/>
  <c r="I42" i="91"/>
  <c r="H42" i="91"/>
  <c r="G42" i="91"/>
  <c r="E42" i="91"/>
  <c r="C42" i="91"/>
  <c r="K41" i="91"/>
  <c r="I41" i="91"/>
  <c r="H41" i="91"/>
  <c r="G41" i="91"/>
  <c r="E41" i="91"/>
  <c r="C41" i="91"/>
  <c r="K40" i="91"/>
  <c r="I40" i="91"/>
  <c r="H40" i="91"/>
  <c r="G40" i="91"/>
  <c r="E40" i="91"/>
  <c r="C40" i="91"/>
  <c r="K39" i="91"/>
  <c r="I39" i="91"/>
  <c r="H39" i="91"/>
  <c r="G39" i="91"/>
  <c r="E39" i="91"/>
  <c r="C39" i="91"/>
  <c r="K38" i="91"/>
  <c r="I38" i="91"/>
  <c r="H38" i="91"/>
  <c r="G38" i="91"/>
  <c r="E38" i="91"/>
  <c r="C38" i="91"/>
  <c r="K37" i="91"/>
  <c r="I37" i="91"/>
  <c r="H37" i="91"/>
  <c r="G37" i="91"/>
  <c r="E37" i="91"/>
  <c r="C37" i="91"/>
  <c r="K36" i="91"/>
  <c r="I36" i="91"/>
  <c r="H36" i="91"/>
  <c r="G36" i="91"/>
  <c r="E36" i="91"/>
  <c r="C36" i="91"/>
  <c r="K35" i="91"/>
  <c r="I35" i="91"/>
  <c r="H35" i="91"/>
  <c r="G35" i="91"/>
  <c r="E35" i="91"/>
  <c r="C35" i="91"/>
  <c r="K34" i="91"/>
  <c r="I34" i="91"/>
  <c r="H34" i="91"/>
  <c r="G34" i="91"/>
  <c r="E34" i="91"/>
  <c r="C34" i="91"/>
  <c r="K33" i="91"/>
  <c r="I33" i="91"/>
  <c r="H33" i="91"/>
  <c r="G33" i="91"/>
  <c r="E33" i="91"/>
  <c r="C33" i="91"/>
  <c r="K32" i="91"/>
  <c r="I32" i="91"/>
  <c r="H32" i="91"/>
  <c r="G32" i="91"/>
  <c r="E32" i="91"/>
  <c r="C32" i="91"/>
  <c r="K31" i="91"/>
  <c r="I31" i="91"/>
  <c r="H31" i="91"/>
  <c r="G31" i="91"/>
  <c r="E31" i="91"/>
  <c r="C31" i="91"/>
  <c r="K30" i="91"/>
  <c r="I30" i="91"/>
  <c r="H30" i="91"/>
  <c r="G30" i="91"/>
  <c r="E30" i="91"/>
  <c r="C30" i="91"/>
  <c r="K29" i="91"/>
  <c r="I29" i="91"/>
  <c r="H29" i="91"/>
  <c r="G29" i="91"/>
  <c r="E29" i="91"/>
  <c r="C29" i="91"/>
  <c r="K28" i="91"/>
  <c r="I28" i="91"/>
  <c r="H28" i="91"/>
  <c r="G28" i="91"/>
  <c r="E28" i="91"/>
  <c r="C28" i="91"/>
  <c r="K27" i="91"/>
  <c r="I27" i="91"/>
  <c r="H27" i="91"/>
  <c r="G27" i="91"/>
  <c r="E27" i="91"/>
  <c r="C27" i="91"/>
  <c r="K26" i="91"/>
  <c r="I26" i="91"/>
  <c r="H26" i="91"/>
  <c r="G26" i="91"/>
  <c r="E26" i="91"/>
  <c r="C26" i="91"/>
  <c r="K25" i="91"/>
  <c r="I25" i="91"/>
  <c r="H25" i="91"/>
  <c r="G25" i="91"/>
  <c r="E25" i="91"/>
  <c r="C25" i="91"/>
  <c r="K24" i="91"/>
  <c r="I24" i="91"/>
  <c r="H24" i="91"/>
  <c r="G24" i="91"/>
  <c r="E24" i="91"/>
  <c r="C24" i="91"/>
  <c r="K23" i="91"/>
  <c r="I23" i="91"/>
  <c r="H23" i="91"/>
  <c r="G23" i="91"/>
  <c r="E23" i="91"/>
  <c r="C23" i="91"/>
  <c r="K22" i="91"/>
  <c r="I22" i="91"/>
  <c r="H22" i="91"/>
  <c r="G22" i="91"/>
  <c r="E22" i="91"/>
  <c r="C22" i="91"/>
  <c r="K21" i="91"/>
  <c r="I21" i="91"/>
  <c r="H21" i="91"/>
  <c r="G21" i="91"/>
  <c r="E21" i="91"/>
  <c r="C21" i="91"/>
  <c r="K20" i="91"/>
  <c r="I20" i="91"/>
  <c r="H20" i="91"/>
  <c r="G20" i="91"/>
  <c r="E20" i="91"/>
  <c r="C20" i="91"/>
  <c r="K19" i="91"/>
  <c r="I19" i="91"/>
  <c r="H19" i="91"/>
  <c r="G19" i="91"/>
  <c r="E19" i="91"/>
  <c r="C19" i="91"/>
  <c r="K18" i="91"/>
  <c r="I18" i="91"/>
  <c r="H18" i="91"/>
  <c r="G18" i="91"/>
  <c r="E18" i="91"/>
  <c r="C18" i="91"/>
  <c r="K17" i="91"/>
  <c r="I17" i="91"/>
  <c r="H17" i="91"/>
  <c r="G17" i="91"/>
  <c r="E17" i="91"/>
  <c r="C17" i="91"/>
  <c r="K16" i="91"/>
  <c r="I16" i="91"/>
  <c r="H16" i="91"/>
  <c r="G16" i="91"/>
  <c r="E16" i="91"/>
  <c r="C16" i="91"/>
  <c r="K15" i="91"/>
  <c r="I15" i="91"/>
  <c r="H15" i="91"/>
  <c r="G15" i="91"/>
  <c r="E15" i="91"/>
  <c r="C15" i="91"/>
  <c r="K14" i="91"/>
  <c r="I14" i="91"/>
  <c r="H14" i="91"/>
  <c r="G14" i="91"/>
  <c r="E14" i="91"/>
  <c r="C14" i="91"/>
  <c r="K13" i="91"/>
  <c r="I13" i="91"/>
  <c r="H13" i="91"/>
  <c r="G13" i="91"/>
  <c r="E13" i="91"/>
  <c r="C13" i="91"/>
  <c r="K12" i="91"/>
  <c r="I12" i="91"/>
  <c r="H12" i="91"/>
  <c r="G12" i="91"/>
  <c r="E12" i="91"/>
  <c r="C12" i="91"/>
  <c r="K11" i="91"/>
  <c r="I11" i="91"/>
  <c r="H11" i="91"/>
  <c r="G11" i="91"/>
  <c r="E11" i="91"/>
  <c r="C11" i="91"/>
  <c r="K10" i="91"/>
  <c r="I10" i="91"/>
  <c r="H10" i="91"/>
  <c r="G10" i="91"/>
  <c r="E10" i="91"/>
  <c r="C10" i="91"/>
  <c r="R22" i="90"/>
  <c r="R19" i="90"/>
  <c r="R17" i="90"/>
  <c r="R16" i="90"/>
  <c r="R14" i="90"/>
  <c r="R10" i="90"/>
  <c r="Q22" i="90"/>
  <c r="Q20" i="90"/>
  <c r="Q19" i="90"/>
  <c r="Q17" i="90"/>
  <c r="Q16" i="90"/>
  <c r="Q14" i="90"/>
  <c r="Q11" i="90"/>
  <c r="Q10" i="90"/>
  <c r="P22" i="90"/>
  <c r="P20" i="90"/>
  <c r="P19" i="90"/>
  <c r="P17" i="90"/>
  <c r="P16" i="90"/>
  <c r="P14" i="90"/>
  <c r="P11" i="90"/>
  <c r="P10" i="90"/>
  <c r="O22" i="90"/>
  <c r="O20" i="90"/>
  <c r="O19" i="90"/>
  <c r="O17" i="90"/>
  <c r="O16" i="90"/>
  <c r="O14" i="90"/>
  <c r="O11" i="90"/>
  <c r="O10" i="90"/>
  <c r="N22" i="90"/>
  <c r="N21" i="90"/>
  <c r="N20" i="90"/>
  <c r="N19" i="90"/>
  <c r="N17" i="90"/>
  <c r="N16" i="90"/>
  <c r="N14" i="90"/>
  <c r="N11" i="90"/>
  <c r="N10" i="90"/>
  <c r="K71" i="90"/>
  <c r="I71" i="90"/>
  <c r="H71" i="90"/>
  <c r="G71" i="90"/>
  <c r="E71" i="90"/>
  <c r="C71" i="90"/>
  <c r="K70" i="90"/>
  <c r="I70" i="90"/>
  <c r="H70" i="90"/>
  <c r="G70" i="90"/>
  <c r="E70" i="90"/>
  <c r="C70" i="90"/>
  <c r="K69" i="90"/>
  <c r="I69" i="90"/>
  <c r="H69" i="90"/>
  <c r="G69" i="90"/>
  <c r="E69" i="90"/>
  <c r="C69" i="90"/>
  <c r="K68" i="90"/>
  <c r="I68" i="90"/>
  <c r="H68" i="90"/>
  <c r="G68" i="90"/>
  <c r="E68" i="90"/>
  <c r="C68" i="90"/>
  <c r="K67" i="90"/>
  <c r="I67" i="90"/>
  <c r="H67" i="90"/>
  <c r="G67" i="90"/>
  <c r="E67" i="90"/>
  <c r="C67" i="90"/>
  <c r="K66" i="90"/>
  <c r="I66" i="90"/>
  <c r="H66" i="90"/>
  <c r="G66" i="90"/>
  <c r="E66" i="90"/>
  <c r="C66" i="90"/>
  <c r="K65" i="90"/>
  <c r="I65" i="90"/>
  <c r="H65" i="90"/>
  <c r="G65" i="90"/>
  <c r="E65" i="90"/>
  <c r="C65" i="90"/>
  <c r="K64" i="90"/>
  <c r="I64" i="90"/>
  <c r="H64" i="90"/>
  <c r="G64" i="90"/>
  <c r="E64" i="90"/>
  <c r="C64" i="90"/>
  <c r="K63" i="90"/>
  <c r="I63" i="90"/>
  <c r="H63" i="90"/>
  <c r="G63" i="90"/>
  <c r="E63" i="90"/>
  <c r="C63" i="90"/>
  <c r="K62" i="90"/>
  <c r="I62" i="90"/>
  <c r="H62" i="90"/>
  <c r="G62" i="90"/>
  <c r="E62" i="90"/>
  <c r="C62" i="90"/>
  <c r="K61" i="90"/>
  <c r="I61" i="90"/>
  <c r="H61" i="90"/>
  <c r="G61" i="90"/>
  <c r="E61" i="90"/>
  <c r="C61" i="90"/>
  <c r="K60" i="90"/>
  <c r="I60" i="90"/>
  <c r="H60" i="90"/>
  <c r="G60" i="90"/>
  <c r="E60" i="90"/>
  <c r="C60" i="90"/>
  <c r="K59" i="90"/>
  <c r="I59" i="90"/>
  <c r="H59" i="90"/>
  <c r="G59" i="90"/>
  <c r="E59" i="90"/>
  <c r="C59" i="90"/>
  <c r="K58" i="90"/>
  <c r="I58" i="90"/>
  <c r="H58" i="90"/>
  <c r="G58" i="90"/>
  <c r="E58" i="90"/>
  <c r="C58" i="90"/>
  <c r="K57" i="90"/>
  <c r="I57" i="90"/>
  <c r="H57" i="90"/>
  <c r="G57" i="90"/>
  <c r="E57" i="90"/>
  <c r="C57" i="90"/>
  <c r="K56" i="90"/>
  <c r="I56" i="90"/>
  <c r="H56" i="90"/>
  <c r="G56" i="90"/>
  <c r="E56" i="90"/>
  <c r="C56" i="90"/>
  <c r="K55" i="90"/>
  <c r="I55" i="90"/>
  <c r="H55" i="90"/>
  <c r="G55" i="90"/>
  <c r="E55" i="90"/>
  <c r="C55" i="90"/>
  <c r="K54" i="90"/>
  <c r="I54" i="90"/>
  <c r="H54" i="90"/>
  <c r="G54" i="90"/>
  <c r="E54" i="90"/>
  <c r="C54" i="90"/>
  <c r="K53" i="90"/>
  <c r="I53" i="90"/>
  <c r="H53" i="90"/>
  <c r="G53" i="90"/>
  <c r="E53" i="90"/>
  <c r="C53" i="90"/>
  <c r="K52" i="90"/>
  <c r="I52" i="90"/>
  <c r="H52" i="90"/>
  <c r="G52" i="90"/>
  <c r="E52" i="90"/>
  <c r="C52" i="90"/>
  <c r="K51" i="90"/>
  <c r="I51" i="90"/>
  <c r="H51" i="90"/>
  <c r="G51" i="90"/>
  <c r="E51" i="90"/>
  <c r="C51" i="90"/>
  <c r="K50" i="90"/>
  <c r="I50" i="90"/>
  <c r="H50" i="90"/>
  <c r="G50" i="90"/>
  <c r="E50" i="90"/>
  <c r="C50" i="90"/>
  <c r="K49" i="90"/>
  <c r="I49" i="90"/>
  <c r="H49" i="90"/>
  <c r="G49" i="90"/>
  <c r="E49" i="90"/>
  <c r="C49" i="90"/>
  <c r="K48" i="90"/>
  <c r="I48" i="90"/>
  <c r="H48" i="90"/>
  <c r="G48" i="90"/>
  <c r="E48" i="90"/>
  <c r="C48" i="90"/>
  <c r="K47" i="90"/>
  <c r="I47" i="90"/>
  <c r="H47" i="90"/>
  <c r="G47" i="90"/>
  <c r="E47" i="90"/>
  <c r="C47" i="90"/>
  <c r="K46" i="90"/>
  <c r="I46" i="90"/>
  <c r="H46" i="90"/>
  <c r="G46" i="90"/>
  <c r="E46" i="90"/>
  <c r="C46" i="90"/>
  <c r="K45" i="90"/>
  <c r="I45" i="90"/>
  <c r="H45" i="90"/>
  <c r="G45" i="90"/>
  <c r="E45" i="90"/>
  <c r="C45" i="90"/>
  <c r="K44" i="90"/>
  <c r="I44" i="90"/>
  <c r="H44" i="90"/>
  <c r="G44" i="90"/>
  <c r="E44" i="90"/>
  <c r="C44" i="90"/>
  <c r="K43" i="90"/>
  <c r="I43" i="90"/>
  <c r="H43" i="90"/>
  <c r="G43" i="90"/>
  <c r="E43" i="90"/>
  <c r="C43" i="90"/>
  <c r="K42" i="90"/>
  <c r="I42" i="90"/>
  <c r="H42" i="90"/>
  <c r="G42" i="90"/>
  <c r="E42" i="90"/>
  <c r="C42" i="90"/>
  <c r="K41" i="90"/>
  <c r="I41" i="90"/>
  <c r="H41" i="90"/>
  <c r="G41" i="90"/>
  <c r="E41" i="90"/>
  <c r="C41" i="90"/>
  <c r="K40" i="90"/>
  <c r="I40" i="90"/>
  <c r="H40" i="90"/>
  <c r="G40" i="90"/>
  <c r="E40" i="90"/>
  <c r="C40" i="90"/>
  <c r="K39" i="90"/>
  <c r="I39" i="90"/>
  <c r="H39" i="90"/>
  <c r="G39" i="90"/>
  <c r="E39" i="90"/>
  <c r="C39" i="90"/>
  <c r="K38" i="90"/>
  <c r="I38" i="90"/>
  <c r="H38" i="90"/>
  <c r="G38" i="90"/>
  <c r="E38" i="90"/>
  <c r="C38" i="90"/>
  <c r="K37" i="90"/>
  <c r="I37" i="90"/>
  <c r="H37" i="90"/>
  <c r="G37" i="90"/>
  <c r="E37" i="90"/>
  <c r="C37" i="90"/>
  <c r="K36" i="90"/>
  <c r="I36" i="90"/>
  <c r="H36" i="90"/>
  <c r="G36" i="90"/>
  <c r="E36" i="90"/>
  <c r="C36" i="90"/>
  <c r="K35" i="90"/>
  <c r="I35" i="90"/>
  <c r="H35" i="90"/>
  <c r="G35" i="90"/>
  <c r="E35" i="90"/>
  <c r="C35" i="90"/>
  <c r="K34" i="90"/>
  <c r="I34" i="90"/>
  <c r="H34" i="90"/>
  <c r="G34" i="90"/>
  <c r="E34" i="90"/>
  <c r="C34" i="90"/>
  <c r="K33" i="90"/>
  <c r="I33" i="90"/>
  <c r="H33" i="90"/>
  <c r="G33" i="90"/>
  <c r="E33" i="90"/>
  <c r="C33" i="90"/>
  <c r="K32" i="90"/>
  <c r="I32" i="90"/>
  <c r="H32" i="90"/>
  <c r="G32" i="90"/>
  <c r="E32" i="90"/>
  <c r="C32" i="90"/>
  <c r="K31" i="90"/>
  <c r="I31" i="90"/>
  <c r="H31" i="90"/>
  <c r="G31" i="90"/>
  <c r="E31" i="90"/>
  <c r="C31" i="90"/>
  <c r="K30" i="90"/>
  <c r="I30" i="90"/>
  <c r="H30" i="90"/>
  <c r="G30" i="90"/>
  <c r="E30" i="90"/>
  <c r="C30" i="90"/>
  <c r="K29" i="90"/>
  <c r="I29" i="90"/>
  <c r="H29" i="90"/>
  <c r="G29" i="90"/>
  <c r="E29" i="90"/>
  <c r="C29" i="90"/>
  <c r="K28" i="90"/>
  <c r="I28" i="90"/>
  <c r="H28" i="90"/>
  <c r="G28" i="90"/>
  <c r="E28" i="90"/>
  <c r="C28" i="90"/>
  <c r="K27" i="90"/>
  <c r="I27" i="90"/>
  <c r="H27" i="90"/>
  <c r="G27" i="90"/>
  <c r="E27" i="90"/>
  <c r="C27" i="90"/>
  <c r="K26" i="90"/>
  <c r="I26" i="90"/>
  <c r="H26" i="90"/>
  <c r="G26" i="90"/>
  <c r="E26" i="90"/>
  <c r="C26" i="90"/>
  <c r="K25" i="90"/>
  <c r="I25" i="90"/>
  <c r="H25" i="90"/>
  <c r="G25" i="90"/>
  <c r="E25" i="90"/>
  <c r="C25" i="90"/>
  <c r="K24" i="90"/>
  <c r="I24" i="90"/>
  <c r="H24" i="90"/>
  <c r="G24" i="90"/>
  <c r="E24" i="90"/>
  <c r="C24" i="90"/>
  <c r="K23" i="90"/>
  <c r="I23" i="90"/>
  <c r="H23" i="90"/>
  <c r="G23" i="90"/>
  <c r="E23" i="90"/>
  <c r="C23" i="90"/>
  <c r="K22" i="90"/>
  <c r="I22" i="90"/>
  <c r="H22" i="90"/>
  <c r="G22" i="90"/>
  <c r="E22" i="90"/>
  <c r="C22" i="90"/>
  <c r="K21" i="90"/>
  <c r="I21" i="90"/>
  <c r="H21" i="90"/>
  <c r="G21" i="90"/>
  <c r="E21" i="90"/>
  <c r="C21" i="90"/>
  <c r="K20" i="90"/>
  <c r="I20" i="90"/>
  <c r="H20" i="90"/>
  <c r="G20" i="90"/>
  <c r="E20" i="90"/>
  <c r="C20" i="90"/>
  <c r="K19" i="90"/>
  <c r="I19" i="90"/>
  <c r="H19" i="90"/>
  <c r="G19" i="90"/>
  <c r="E19" i="90"/>
  <c r="C19" i="90"/>
  <c r="K18" i="90"/>
  <c r="I18" i="90"/>
  <c r="H18" i="90"/>
  <c r="G18" i="90"/>
  <c r="E18" i="90"/>
  <c r="C18" i="90"/>
  <c r="K17" i="90"/>
  <c r="I17" i="90"/>
  <c r="H17" i="90"/>
  <c r="G17" i="90"/>
  <c r="E17" i="90"/>
  <c r="C17" i="90"/>
  <c r="K16" i="90"/>
  <c r="I16" i="90"/>
  <c r="H16" i="90"/>
  <c r="G16" i="90"/>
  <c r="E16" i="90"/>
  <c r="C16" i="90"/>
  <c r="K15" i="90"/>
  <c r="I15" i="90"/>
  <c r="H15" i="90"/>
  <c r="G15" i="90"/>
  <c r="E15" i="90"/>
  <c r="C15" i="90"/>
  <c r="K14" i="90"/>
  <c r="I14" i="90"/>
  <c r="H14" i="90"/>
  <c r="G14" i="90"/>
  <c r="E14" i="90"/>
  <c r="C14" i="90"/>
  <c r="K13" i="90"/>
  <c r="I13" i="90"/>
  <c r="H13" i="90"/>
  <c r="G13" i="90"/>
  <c r="E13" i="90"/>
  <c r="C13" i="90"/>
  <c r="K12" i="90"/>
  <c r="I12" i="90"/>
  <c r="H12" i="90"/>
  <c r="G12" i="90"/>
  <c r="E12" i="90"/>
  <c r="C12" i="90"/>
  <c r="K11" i="90"/>
  <c r="I11" i="90"/>
  <c r="H11" i="90"/>
  <c r="G11" i="90"/>
  <c r="E11" i="90"/>
  <c r="C11" i="90"/>
  <c r="K10" i="90"/>
  <c r="I10" i="90"/>
  <c r="H10" i="90"/>
  <c r="G10" i="90"/>
  <c r="E10" i="90"/>
  <c r="C10" i="90"/>
  <c r="O23" i="89"/>
  <c r="P23" i="89"/>
  <c r="Q23" i="89"/>
  <c r="R23" i="89"/>
  <c r="N23" i="89"/>
  <c r="N22" i="89"/>
  <c r="N21" i="89"/>
  <c r="N20" i="89"/>
  <c r="N19" i="89"/>
  <c r="N17" i="89"/>
  <c r="N16" i="89"/>
  <c r="N14" i="89"/>
  <c r="N12" i="89"/>
  <c r="N11" i="89"/>
  <c r="N10" i="89"/>
  <c r="S10" i="89" s="1"/>
  <c r="S11" i="89"/>
  <c r="S12" i="89"/>
  <c r="R22" i="89"/>
  <c r="R19" i="89"/>
  <c r="R17" i="89"/>
  <c r="R16" i="89"/>
  <c r="R14" i="89"/>
  <c r="R10" i="89"/>
  <c r="Q22" i="89"/>
  <c r="Q20" i="89"/>
  <c r="Q19" i="89"/>
  <c r="Q17" i="89"/>
  <c r="Q16" i="89"/>
  <c r="Q14" i="89"/>
  <c r="Q11" i="89"/>
  <c r="Q10" i="89"/>
  <c r="P22" i="89"/>
  <c r="P20" i="89"/>
  <c r="P19" i="89"/>
  <c r="P17" i="89"/>
  <c r="P16" i="89"/>
  <c r="P14" i="89"/>
  <c r="P11" i="89"/>
  <c r="P10" i="89"/>
  <c r="O22" i="89"/>
  <c r="O20" i="89"/>
  <c r="O19" i="89"/>
  <c r="O17" i="89"/>
  <c r="O16" i="89"/>
  <c r="O14" i="89"/>
  <c r="O11" i="89"/>
  <c r="O10" i="89"/>
  <c r="K71" i="89"/>
  <c r="I71" i="89"/>
  <c r="H71" i="89"/>
  <c r="G71" i="89"/>
  <c r="E71" i="89"/>
  <c r="C71" i="89"/>
  <c r="K70" i="89"/>
  <c r="I70" i="89"/>
  <c r="H70" i="89"/>
  <c r="G70" i="89"/>
  <c r="E70" i="89"/>
  <c r="C70" i="89"/>
  <c r="K69" i="89"/>
  <c r="I69" i="89"/>
  <c r="H69" i="89"/>
  <c r="G69" i="89"/>
  <c r="E69" i="89"/>
  <c r="C69" i="89"/>
  <c r="K68" i="89"/>
  <c r="I68" i="89"/>
  <c r="H68" i="89"/>
  <c r="G68" i="89"/>
  <c r="E68" i="89"/>
  <c r="C68" i="89"/>
  <c r="K67" i="89"/>
  <c r="I67" i="89"/>
  <c r="H67" i="89"/>
  <c r="G67" i="89"/>
  <c r="E67" i="89"/>
  <c r="C67" i="89"/>
  <c r="K66" i="89"/>
  <c r="I66" i="89"/>
  <c r="H66" i="89"/>
  <c r="G66" i="89"/>
  <c r="E66" i="89"/>
  <c r="C66" i="89"/>
  <c r="K65" i="89"/>
  <c r="I65" i="89"/>
  <c r="H65" i="89"/>
  <c r="G65" i="89"/>
  <c r="E65" i="89"/>
  <c r="C65" i="89"/>
  <c r="K64" i="89"/>
  <c r="I64" i="89"/>
  <c r="H64" i="89"/>
  <c r="G64" i="89"/>
  <c r="E64" i="89"/>
  <c r="C64" i="89"/>
  <c r="K63" i="89"/>
  <c r="I63" i="89"/>
  <c r="H63" i="89"/>
  <c r="G63" i="89"/>
  <c r="E63" i="89"/>
  <c r="C63" i="89"/>
  <c r="K62" i="89"/>
  <c r="I62" i="89"/>
  <c r="H62" i="89"/>
  <c r="G62" i="89"/>
  <c r="E62" i="89"/>
  <c r="C62" i="89"/>
  <c r="K61" i="89"/>
  <c r="I61" i="89"/>
  <c r="H61" i="89"/>
  <c r="G61" i="89"/>
  <c r="E61" i="89"/>
  <c r="C61" i="89"/>
  <c r="K60" i="89"/>
  <c r="I60" i="89"/>
  <c r="H60" i="89"/>
  <c r="G60" i="89"/>
  <c r="E60" i="89"/>
  <c r="C60" i="89"/>
  <c r="K59" i="89"/>
  <c r="I59" i="89"/>
  <c r="H59" i="89"/>
  <c r="G59" i="89"/>
  <c r="E59" i="89"/>
  <c r="C59" i="89"/>
  <c r="K58" i="89"/>
  <c r="I58" i="89"/>
  <c r="H58" i="89"/>
  <c r="G58" i="89"/>
  <c r="E58" i="89"/>
  <c r="C58" i="89"/>
  <c r="K57" i="89"/>
  <c r="I57" i="89"/>
  <c r="H57" i="89"/>
  <c r="G57" i="89"/>
  <c r="E57" i="89"/>
  <c r="C57" i="89"/>
  <c r="K56" i="89"/>
  <c r="I56" i="89"/>
  <c r="H56" i="89"/>
  <c r="G56" i="89"/>
  <c r="E56" i="89"/>
  <c r="C56" i="89"/>
  <c r="K55" i="89"/>
  <c r="I55" i="89"/>
  <c r="H55" i="89"/>
  <c r="G55" i="89"/>
  <c r="E55" i="89"/>
  <c r="C55" i="89"/>
  <c r="K54" i="89"/>
  <c r="I54" i="89"/>
  <c r="H54" i="89"/>
  <c r="G54" i="89"/>
  <c r="E54" i="89"/>
  <c r="C54" i="89"/>
  <c r="K53" i="89"/>
  <c r="I53" i="89"/>
  <c r="H53" i="89"/>
  <c r="G53" i="89"/>
  <c r="E53" i="89"/>
  <c r="C53" i="89"/>
  <c r="K52" i="89"/>
  <c r="I52" i="89"/>
  <c r="H52" i="89"/>
  <c r="G52" i="89"/>
  <c r="E52" i="89"/>
  <c r="C52" i="89"/>
  <c r="K51" i="89"/>
  <c r="I51" i="89"/>
  <c r="H51" i="89"/>
  <c r="G51" i="89"/>
  <c r="E51" i="89"/>
  <c r="C51" i="89"/>
  <c r="K50" i="89"/>
  <c r="I50" i="89"/>
  <c r="H50" i="89"/>
  <c r="G50" i="89"/>
  <c r="E50" i="89"/>
  <c r="C50" i="89"/>
  <c r="K49" i="89"/>
  <c r="I49" i="89"/>
  <c r="H49" i="89"/>
  <c r="G49" i="89"/>
  <c r="E49" i="89"/>
  <c r="C49" i="89"/>
  <c r="K48" i="89"/>
  <c r="I48" i="89"/>
  <c r="H48" i="89"/>
  <c r="G48" i="89"/>
  <c r="E48" i="89"/>
  <c r="C48" i="89"/>
  <c r="K47" i="89"/>
  <c r="I47" i="89"/>
  <c r="H47" i="89"/>
  <c r="G47" i="89"/>
  <c r="E47" i="89"/>
  <c r="C47" i="89"/>
  <c r="K46" i="89"/>
  <c r="I46" i="89"/>
  <c r="H46" i="89"/>
  <c r="G46" i="89"/>
  <c r="E46" i="89"/>
  <c r="C46" i="89"/>
  <c r="K45" i="89"/>
  <c r="I45" i="89"/>
  <c r="H45" i="89"/>
  <c r="G45" i="89"/>
  <c r="E45" i="89"/>
  <c r="C45" i="89"/>
  <c r="K44" i="89"/>
  <c r="I44" i="89"/>
  <c r="H44" i="89"/>
  <c r="G44" i="89"/>
  <c r="E44" i="89"/>
  <c r="C44" i="89"/>
  <c r="K43" i="89"/>
  <c r="I43" i="89"/>
  <c r="H43" i="89"/>
  <c r="G43" i="89"/>
  <c r="E43" i="89"/>
  <c r="C43" i="89"/>
  <c r="K42" i="89"/>
  <c r="I42" i="89"/>
  <c r="H42" i="89"/>
  <c r="G42" i="89"/>
  <c r="E42" i="89"/>
  <c r="C42" i="89"/>
  <c r="K41" i="89"/>
  <c r="I41" i="89"/>
  <c r="H41" i="89"/>
  <c r="G41" i="89"/>
  <c r="E41" i="89"/>
  <c r="C41" i="89"/>
  <c r="K40" i="89"/>
  <c r="I40" i="89"/>
  <c r="H40" i="89"/>
  <c r="G40" i="89"/>
  <c r="E40" i="89"/>
  <c r="C40" i="89"/>
  <c r="K39" i="89"/>
  <c r="I39" i="89"/>
  <c r="H39" i="89"/>
  <c r="G39" i="89"/>
  <c r="E39" i="89"/>
  <c r="C39" i="89"/>
  <c r="K38" i="89"/>
  <c r="I38" i="89"/>
  <c r="H38" i="89"/>
  <c r="G38" i="89"/>
  <c r="E38" i="89"/>
  <c r="C38" i="89"/>
  <c r="K37" i="89"/>
  <c r="I37" i="89"/>
  <c r="H37" i="89"/>
  <c r="G37" i="89"/>
  <c r="E37" i="89"/>
  <c r="C37" i="89"/>
  <c r="K36" i="89"/>
  <c r="I36" i="89"/>
  <c r="H36" i="89"/>
  <c r="G36" i="89"/>
  <c r="E36" i="89"/>
  <c r="C36" i="89"/>
  <c r="K35" i="89"/>
  <c r="I35" i="89"/>
  <c r="H35" i="89"/>
  <c r="G35" i="89"/>
  <c r="E35" i="89"/>
  <c r="C35" i="89"/>
  <c r="K34" i="89"/>
  <c r="I34" i="89"/>
  <c r="H34" i="89"/>
  <c r="G34" i="89"/>
  <c r="E34" i="89"/>
  <c r="C34" i="89"/>
  <c r="K33" i="89"/>
  <c r="I33" i="89"/>
  <c r="H33" i="89"/>
  <c r="G33" i="89"/>
  <c r="E33" i="89"/>
  <c r="C33" i="89"/>
  <c r="K32" i="89"/>
  <c r="I32" i="89"/>
  <c r="H32" i="89"/>
  <c r="G32" i="89"/>
  <c r="E32" i="89"/>
  <c r="C32" i="89"/>
  <c r="K31" i="89"/>
  <c r="I31" i="89"/>
  <c r="H31" i="89"/>
  <c r="G31" i="89"/>
  <c r="E31" i="89"/>
  <c r="C31" i="89"/>
  <c r="K30" i="89"/>
  <c r="I30" i="89"/>
  <c r="H30" i="89"/>
  <c r="G30" i="89"/>
  <c r="E30" i="89"/>
  <c r="C30" i="89"/>
  <c r="K29" i="89"/>
  <c r="I29" i="89"/>
  <c r="H29" i="89"/>
  <c r="G29" i="89"/>
  <c r="E29" i="89"/>
  <c r="C29" i="89"/>
  <c r="K28" i="89"/>
  <c r="I28" i="89"/>
  <c r="H28" i="89"/>
  <c r="G28" i="89"/>
  <c r="E28" i="89"/>
  <c r="C28" i="89"/>
  <c r="K27" i="89"/>
  <c r="I27" i="89"/>
  <c r="H27" i="89"/>
  <c r="G27" i="89"/>
  <c r="E27" i="89"/>
  <c r="C27" i="89"/>
  <c r="K26" i="89"/>
  <c r="I26" i="89"/>
  <c r="H26" i="89"/>
  <c r="G26" i="89"/>
  <c r="E26" i="89"/>
  <c r="C26" i="89"/>
  <c r="K25" i="89"/>
  <c r="I25" i="89"/>
  <c r="H25" i="89"/>
  <c r="G25" i="89"/>
  <c r="E25" i="89"/>
  <c r="C25" i="89"/>
  <c r="K24" i="89"/>
  <c r="I24" i="89"/>
  <c r="H24" i="89"/>
  <c r="G24" i="89"/>
  <c r="E24" i="89"/>
  <c r="C24" i="89"/>
  <c r="K23" i="89"/>
  <c r="I23" i="89"/>
  <c r="H23" i="89"/>
  <c r="G23" i="89"/>
  <c r="E23" i="89"/>
  <c r="C23" i="89"/>
  <c r="K22" i="89"/>
  <c r="I22" i="89"/>
  <c r="H22" i="89"/>
  <c r="G22" i="89"/>
  <c r="E22" i="89"/>
  <c r="C22" i="89"/>
  <c r="K21" i="89"/>
  <c r="I21" i="89"/>
  <c r="H21" i="89"/>
  <c r="G21" i="89"/>
  <c r="E21" i="89"/>
  <c r="C21" i="89"/>
  <c r="K20" i="89"/>
  <c r="I20" i="89"/>
  <c r="H20" i="89"/>
  <c r="G20" i="89"/>
  <c r="E20" i="89"/>
  <c r="C20" i="89"/>
  <c r="K19" i="89"/>
  <c r="I19" i="89"/>
  <c r="H19" i="89"/>
  <c r="G19" i="89"/>
  <c r="E19" i="89"/>
  <c r="C19" i="89"/>
  <c r="K18" i="89"/>
  <c r="I18" i="89"/>
  <c r="H18" i="89"/>
  <c r="G18" i="89"/>
  <c r="E18" i="89"/>
  <c r="C18" i="89"/>
  <c r="K17" i="89"/>
  <c r="I17" i="89"/>
  <c r="H17" i="89"/>
  <c r="G17" i="89"/>
  <c r="E17" i="89"/>
  <c r="C17" i="89"/>
  <c r="K16" i="89"/>
  <c r="I16" i="89"/>
  <c r="H16" i="89"/>
  <c r="G16" i="89"/>
  <c r="E16" i="89"/>
  <c r="C16" i="89"/>
  <c r="K15" i="89"/>
  <c r="I15" i="89"/>
  <c r="H15" i="89"/>
  <c r="G15" i="89"/>
  <c r="E15" i="89"/>
  <c r="C15" i="89"/>
  <c r="K14" i="89"/>
  <c r="I14" i="89"/>
  <c r="H14" i="89"/>
  <c r="G14" i="89"/>
  <c r="E14" i="89"/>
  <c r="C14" i="89"/>
  <c r="K13" i="89"/>
  <c r="I13" i="89"/>
  <c r="H13" i="89"/>
  <c r="G13" i="89"/>
  <c r="E13" i="89"/>
  <c r="C13" i="89"/>
  <c r="K12" i="89"/>
  <c r="I12" i="89"/>
  <c r="H12" i="89"/>
  <c r="G12" i="89"/>
  <c r="E12" i="89"/>
  <c r="C12" i="89"/>
  <c r="K11" i="89"/>
  <c r="I11" i="89"/>
  <c r="H11" i="89"/>
  <c r="G11" i="89"/>
  <c r="E11" i="89"/>
  <c r="C11" i="89"/>
  <c r="K10" i="89"/>
  <c r="I10" i="89"/>
  <c r="H10" i="89"/>
  <c r="G10" i="89"/>
  <c r="E10" i="89"/>
  <c r="C10" i="89"/>
  <c r="R22" i="88"/>
  <c r="R19" i="88"/>
  <c r="R17" i="88"/>
  <c r="R16" i="88"/>
  <c r="R14" i="88"/>
  <c r="R10" i="88"/>
  <c r="Q22" i="88"/>
  <c r="Q20" i="88"/>
  <c r="Q19" i="88"/>
  <c r="Q17" i="88"/>
  <c r="Q16" i="88"/>
  <c r="Q14" i="88"/>
  <c r="Q11" i="88"/>
  <c r="Q10" i="88"/>
  <c r="P22" i="88"/>
  <c r="P20" i="88"/>
  <c r="P19" i="88"/>
  <c r="P17" i="88"/>
  <c r="P16" i="88"/>
  <c r="P14" i="88"/>
  <c r="P11" i="88"/>
  <c r="P10" i="88"/>
  <c r="O22" i="88"/>
  <c r="O20" i="88"/>
  <c r="O19" i="88"/>
  <c r="O17" i="88"/>
  <c r="O16" i="88"/>
  <c r="O14" i="88"/>
  <c r="O11" i="88"/>
  <c r="O10" i="88"/>
  <c r="N22" i="88"/>
  <c r="N20" i="88"/>
  <c r="N19" i="88"/>
  <c r="N17" i="88"/>
  <c r="N16" i="88"/>
  <c r="N14" i="88"/>
  <c r="N11" i="88"/>
  <c r="N10" i="88"/>
  <c r="K69" i="88"/>
  <c r="I69" i="88"/>
  <c r="H69" i="88"/>
  <c r="G69" i="88"/>
  <c r="E69" i="88"/>
  <c r="C69" i="88"/>
  <c r="K68" i="88"/>
  <c r="I68" i="88"/>
  <c r="H68" i="88"/>
  <c r="G68" i="88"/>
  <c r="E68" i="88"/>
  <c r="C68" i="88"/>
  <c r="K67" i="88"/>
  <c r="I67" i="88"/>
  <c r="H67" i="88"/>
  <c r="G67" i="88"/>
  <c r="E67" i="88"/>
  <c r="C67" i="88"/>
  <c r="K66" i="88"/>
  <c r="I66" i="88"/>
  <c r="H66" i="88"/>
  <c r="G66" i="88"/>
  <c r="E66" i="88"/>
  <c r="C66" i="88"/>
  <c r="K65" i="88"/>
  <c r="I65" i="88"/>
  <c r="H65" i="88"/>
  <c r="G65" i="88"/>
  <c r="E65" i="88"/>
  <c r="C65" i="88"/>
  <c r="K64" i="88"/>
  <c r="I64" i="88"/>
  <c r="H64" i="88"/>
  <c r="G64" i="88"/>
  <c r="E64" i="88"/>
  <c r="C64" i="88"/>
  <c r="K63" i="88"/>
  <c r="I63" i="88"/>
  <c r="H63" i="88"/>
  <c r="G63" i="88"/>
  <c r="E63" i="88"/>
  <c r="C63" i="88"/>
  <c r="K62" i="88"/>
  <c r="I62" i="88"/>
  <c r="H62" i="88"/>
  <c r="G62" i="88"/>
  <c r="E62" i="88"/>
  <c r="C62" i="88"/>
  <c r="K61" i="88"/>
  <c r="I61" i="88"/>
  <c r="H61" i="88"/>
  <c r="G61" i="88"/>
  <c r="E61" i="88"/>
  <c r="C61" i="88"/>
  <c r="K60" i="88"/>
  <c r="I60" i="88"/>
  <c r="H60" i="88"/>
  <c r="G60" i="88"/>
  <c r="E60" i="88"/>
  <c r="C60" i="88"/>
  <c r="K59" i="88"/>
  <c r="I59" i="88"/>
  <c r="H59" i="88"/>
  <c r="G59" i="88"/>
  <c r="E59" i="88"/>
  <c r="C59" i="88"/>
  <c r="K58" i="88"/>
  <c r="I58" i="88"/>
  <c r="H58" i="88"/>
  <c r="G58" i="88"/>
  <c r="E58" i="88"/>
  <c r="C58" i="88"/>
  <c r="K57" i="88"/>
  <c r="I57" i="88"/>
  <c r="H57" i="88"/>
  <c r="G57" i="88"/>
  <c r="E57" i="88"/>
  <c r="C57" i="88"/>
  <c r="K56" i="88"/>
  <c r="I56" i="88"/>
  <c r="H56" i="88"/>
  <c r="G56" i="88"/>
  <c r="E56" i="88"/>
  <c r="C56" i="88"/>
  <c r="K55" i="88"/>
  <c r="I55" i="88"/>
  <c r="H55" i="88"/>
  <c r="G55" i="88"/>
  <c r="E55" i="88"/>
  <c r="C55" i="88"/>
  <c r="K54" i="88"/>
  <c r="I54" i="88"/>
  <c r="H54" i="88"/>
  <c r="G54" i="88"/>
  <c r="E54" i="88"/>
  <c r="C54" i="88"/>
  <c r="K53" i="88"/>
  <c r="I53" i="88"/>
  <c r="H53" i="88"/>
  <c r="G53" i="88"/>
  <c r="E53" i="88"/>
  <c r="C53" i="88"/>
  <c r="K52" i="88"/>
  <c r="I52" i="88"/>
  <c r="H52" i="88"/>
  <c r="G52" i="88"/>
  <c r="E52" i="88"/>
  <c r="C52" i="88"/>
  <c r="K51" i="88"/>
  <c r="I51" i="88"/>
  <c r="H51" i="88"/>
  <c r="G51" i="88"/>
  <c r="E51" i="88"/>
  <c r="C51" i="88"/>
  <c r="K50" i="88"/>
  <c r="I50" i="88"/>
  <c r="H50" i="88"/>
  <c r="G50" i="88"/>
  <c r="E50" i="88"/>
  <c r="C50" i="88"/>
  <c r="K49" i="88"/>
  <c r="I49" i="88"/>
  <c r="H49" i="88"/>
  <c r="G49" i="88"/>
  <c r="E49" i="88"/>
  <c r="C49" i="88"/>
  <c r="K48" i="88"/>
  <c r="I48" i="88"/>
  <c r="H48" i="88"/>
  <c r="G48" i="88"/>
  <c r="E48" i="88"/>
  <c r="C48" i="88"/>
  <c r="K47" i="88"/>
  <c r="I47" i="88"/>
  <c r="H47" i="88"/>
  <c r="G47" i="88"/>
  <c r="E47" i="88"/>
  <c r="C47" i="88"/>
  <c r="K46" i="88"/>
  <c r="I46" i="88"/>
  <c r="H46" i="88"/>
  <c r="G46" i="88"/>
  <c r="E46" i="88"/>
  <c r="C46" i="88"/>
  <c r="K45" i="88"/>
  <c r="I45" i="88"/>
  <c r="H45" i="88"/>
  <c r="G45" i="88"/>
  <c r="E45" i="88"/>
  <c r="C45" i="88"/>
  <c r="K44" i="88"/>
  <c r="I44" i="88"/>
  <c r="H44" i="88"/>
  <c r="G44" i="88"/>
  <c r="E44" i="88"/>
  <c r="C44" i="88"/>
  <c r="K43" i="88"/>
  <c r="I43" i="88"/>
  <c r="H43" i="88"/>
  <c r="G43" i="88"/>
  <c r="E43" i="88"/>
  <c r="C43" i="88"/>
  <c r="K42" i="88"/>
  <c r="I42" i="88"/>
  <c r="H42" i="88"/>
  <c r="G42" i="88"/>
  <c r="E42" i="88"/>
  <c r="C42" i="88"/>
  <c r="K41" i="88"/>
  <c r="I41" i="88"/>
  <c r="H41" i="88"/>
  <c r="G41" i="88"/>
  <c r="E41" i="88"/>
  <c r="C41" i="88"/>
  <c r="K40" i="88"/>
  <c r="I40" i="88"/>
  <c r="H40" i="88"/>
  <c r="G40" i="88"/>
  <c r="E40" i="88"/>
  <c r="C40" i="88"/>
  <c r="K39" i="88"/>
  <c r="I39" i="88"/>
  <c r="H39" i="88"/>
  <c r="G39" i="88"/>
  <c r="E39" i="88"/>
  <c r="C39" i="88"/>
  <c r="K38" i="88"/>
  <c r="I38" i="88"/>
  <c r="H38" i="88"/>
  <c r="G38" i="88"/>
  <c r="E38" i="88"/>
  <c r="C38" i="88"/>
  <c r="K37" i="88"/>
  <c r="I37" i="88"/>
  <c r="H37" i="88"/>
  <c r="G37" i="88"/>
  <c r="E37" i="88"/>
  <c r="C37" i="88"/>
  <c r="K36" i="88"/>
  <c r="I36" i="88"/>
  <c r="H36" i="88"/>
  <c r="G36" i="88"/>
  <c r="E36" i="88"/>
  <c r="C36" i="88"/>
  <c r="K35" i="88"/>
  <c r="I35" i="88"/>
  <c r="H35" i="88"/>
  <c r="G35" i="88"/>
  <c r="E35" i="88"/>
  <c r="C35" i="88"/>
  <c r="K34" i="88"/>
  <c r="I34" i="88"/>
  <c r="H34" i="88"/>
  <c r="G34" i="88"/>
  <c r="E34" i="88"/>
  <c r="C34" i="88"/>
  <c r="K33" i="88"/>
  <c r="I33" i="88"/>
  <c r="H33" i="88"/>
  <c r="G33" i="88"/>
  <c r="E33" i="88"/>
  <c r="C33" i="88"/>
  <c r="K32" i="88"/>
  <c r="I32" i="88"/>
  <c r="H32" i="88"/>
  <c r="G32" i="88"/>
  <c r="E32" i="88"/>
  <c r="C32" i="88"/>
  <c r="K31" i="88"/>
  <c r="I31" i="88"/>
  <c r="H31" i="88"/>
  <c r="G31" i="88"/>
  <c r="E31" i="88"/>
  <c r="C31" i="88"/>
  <c r="K30" i="88"/>
  <c r="I30" i="88"/>
  <c r="H30" i="88"/>
  <c r="G30" i="88"/>
  <c r="E30" i="88"/>
  <c r="C30" i="88"/>
  <c r="K29" i="88"/>
  <c r="I29" i="88"/>
  <c r="H29" i="88"/>
  <c r="G29" i="88"/>
  <c r="E29" i="88"/>
  <c r="C29" i="88"/>
  <c r="K28" i="88"/>
  <c r="I28" i="88"/>
  <c r="H28" i="88"/>
  <c r="G28" i="88"/>
  <c r="E28" i="88"/>
  <c r="C28" i="88"/>
  <c r="K27" i="88"/>
  <c r="I27" i="88"/>
  <c r="H27" i="88"/>
  <c r="G27" i="88"/>
  <c r="E27" i="88"/>
  <c r="C27" i="88"/>
  <c r="K26" i="88"/>
  <c r="I26" i="88"/>
  <c r="H26" i="88"/>
  <c r="G26" i="88"/>
  <c r="E26" i="88"/>
  <c r="C26" i="88"/>
  <c r="K25" i="88"/>
  <c r="I25" i="88"/>
  <c r="H25" i="88"/>
  <c r="G25" i="88"/>
  <c r="E25" i="88"/>
  <c r="C25" i="88"/>
  <c r="K24" i="88"/>
  <c r="I24" i="88"/>
  <c r="H24" i="88"/>
  <c r="G24" i="88"/>
  <c r="E24" i="88"/>
  <c r="C24" i="88"/>
  <c r="K23" i="88"/>
  <c r="I23" i="88"/>
  <c r="H23" i="88"/>
  <c r="G23" i="88"/>
  <c r="E23" i="88"/>
  <c r="C23" i="88"/>
  <c r="K22" i="88"/>
  <c r="I22" i="88"/>
  <c r="H22" i="88"/>
  <c r="G22" i="88"/>
  <c r="E22" i="88"/>
  <c r="C22" i="88"/>
  <c r="K21" i="88"/>
  <c r="I21" i="88"/>
  <c r="H21" i="88"/>
  <c r="G21" i="88"/>
  <c r="E21" i="88"/>
  <c r="C21" i="88"/>
  <c r="K20" i="88"/>
  <c r="I20" i="88"/>
  <c r="H20" i="88"/>
  <c r="G20" i="88"/>
  <c r="E20" i="88"/>
  <c r="C20" i="88"/>
  <c r="K19" i="88"/>
  <c r="I19" i="88"/>
  <c r="H19" i="88"/>
  <c r="G19" i="88"/>
  <c r="E19" i="88"/>
  <c r="C19" i="88"/>
  <c r="K18" i="88"/>
  <c r="I18" i="88"/>
  <c r="H18" i="88"/>
  <c r="G18" i="88"/>
  <c r="E18" i="88"/>
  <c r="C18" i="88"/>
  <c r="K17" i="88"/>
  <c r="I17" i="88"/>
  <c r="H17" i="88"/>
  <c r="G17" i="88"/>
  <c r="E17" i="88"/>
  <c r="C17" i="88"/>
  <c r="K16" i="88"/>
  <c r="I16" i="88"/>
  <c r="H16" i="88"/>
  <c r="G16" i="88"/>
  <c r="E16" i="88"/>
  <c r="C16" i="88"/>
  <c r="K15" i="88"/>
  <c r="I15" i="88"/>
  <c r="H15" i="88"/>
  <c r="G15" i="88"/>
  <c r="E15" i="88"/>
  <c r="C15" i="88"/>
  <c r="K14" i="88"/>
  <c r="I14" i="88"/>
  <c r="H14" i="88"/>
  <c r="G14" i="88"/>
  <c r="E14" i="88"/>
  <c r="C14" i="88"/>
  <c r="K13" i="88"/>
  <c r="I13" i="88"/>
  <c r="H13" i="88"/>
  <c r="G13" i="88"/>
  <c r="E13" i="88"/>
  <c r="C13" i="88"/>
  <c r="K12" i="88"/>
  <c r="I12" i="88"/>
  <c r="H12" i="88"/>
  <c r="G12" i="88"/>
  <c r="E12" i="88"/>
  <c r="C12" i="88"/>
  <c r="K11" i="88"/>
  <c r="I11" i="88"/>
  <c r="H11" i="88"/>
  <c r="G11" i="88"/>
  <c r="E11" i="88"/>
  <c r="C11" i="88"/>
  <c r="K10" i="88"/>
  <c r="I10" i="88"/>
  <c r="H10" i="88"/>
  <c r="G10" i="88"/>
  <c r="E10" i="88"/>
  <c r="C10" i="88"/>
</calcChain>
</file>

<file path=xl/sharedStrings.xml><?xml version="1.0" encoding="utf-8"?>
<sst xmlns="http://schemas.openxmlformats.org/spreadsheetml/2006/main" count="205" uniqueCount="36">
  <si>
    <t>Principal</t>
  </si>
  <si>
    <t>Interest Rate</t>
  </si>
  <si>
    <t>Tenure</t>
  </si>
  <si>
    <t>Installment</t>
  </si>
  <si>
    <t>Start Date</t>
  </si>
  <si>
    <t>Date</t>
  </si>
  <si>
    <t>Opening Balance</t>
  </si>
  <si>
    <t>Days</t>
  </si>
  <si>
    <t>Interest</t>
  </si>
  <si>
    <t>Service Fee</t>
  </si>
  <si>
    <t>Principal Repayment</t>
  </si>
  <si>
    <t>Interest Paid</t>
  </si>
  <si>
    <t>Service Fee Paid</t>
  </si>
  <si>
    <t>Closing Balance</t>
  </si>
  <si>
    <t>Year 1</t>
  </si>
  <si>
    <t>Year 2</t>
  </si>
  <si>
    <t>Year 3</t>
  </si>
  <si>
    <t>Year 4</t>
  </si>
  <si>
    <t>Year 5</t>
  </si>
  <si>
    <t>Year 6</t>
  </si>
  <si>
    <t>Within one year</t>
  </si>
  <si>
    <t>in Second to fifth year inclusive</t>
  </si>
  <si>
    <t>Later than five years</t>
  </si>
  <si>
    <t>Total Obligation</t>
  </si>
  <si>
    <t>Less: Future finance charges</t>
  </si>
  <si>
    <t>Present value of minimum lease payments</t>
  </si>
  <si>
    <t>Minimum lease payments which fall due:</t>
  </si>
  <si>
    <t>Net finance lease liabilities</t>
  </si>
  <si>
    <t>13-12-2024</t>
  </si>
  <si>
    <t>Year 7</t>
  </si>
  <si>
    <t>Year 8</t>
  </si>
  <si>
    <t>Year 9</t>
  </si>
  <si>
    <t>Year 10</t>
  </si>
  <si>
    <t>Year 11</t>
  </si>
  <si>
    <t>Year 12</t>
  </si>
  <si>
    <t>Year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</si>
</sst>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dd\-mmm\-yyyy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Font="1"/>
    <xf numFmtId="165" fontId="0" fillId="0" borderId="0" xfId="0" applyNumberFormat="1"/>
    <xf numFmtId="4" fontId="0" fillId="0" borderId="0" xfId="0" applyNumberFormat="1"/>
    <xf numFmtId="4" fontId="0" fillId="2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01C6D-1637-42C6-AF07-B86B66E78748}">
  <sheetPr codeName="Sheet1"/>
  <dimension ref="B2:Z159"/>
  <sheetViews>
    <sheetView tabSelected="1" workbookViewId="0">
      <selection activeCell="A23" sqref="A23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9" width="10.6640625" bestFit="1" customWidth="1"/>
    <col min="20" max="22" width="9.77734375" bestFit="1" customWidth="1"/>
    <col min="23" max="25" width="9.109375" bestFit="1" customWidth="1"/>
    <col min="26" max="26" width="8.109375" bestFit="1" customWidth="1"/>
  </cols>
  <sheetData>
    <row r="2" spans="2:26" x14ac:dyDescent="0.3">
      <c r="B2" s="2" t="s">
        <v>0</v>
      </c>
      <c r="C2" s="3">
        <v>100000</v>
      </c>
    </row>
    <row r="3" spans="2:26" x14ac:dyDescent="0.3">
      <c r="B3" s="2" t="s">
        <v>1</v>
      </c>
      <c r="C3" s="3">
        <v>0.12</v>
      </c>
    </row>
    <row r="4" spans="2:26" x14ac:dyDescent="0.3">
      <c r="B4" s="2" t="s">
        <v>2</v>
      </c>
      <c r="C4" s="3">
        <v>150</v>
      </c>
    </row>
    <row r="5" spans="2:26" x14ac:dyDescent="0.3">
      <c r="B5" s="2" t="s">
        <v>3</v>
      </c>
      <c r="C5" s="3">
        <v>1289.99</v>
      </c>
    </row>
    <row r="6" spans="2:26" x14ac:dyDescent="0.3">
      <c r="B6" s="2" t="s">
        <v>4</v>
      </c>
      <c r="C6" s="3" t="s">
        <v>28</v>
      </c>
    </row>
    <row r="9" spans="2:26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  <c r="S9" t="s">
        <v>19</v>
      </c>
      <c r="T9" t="s">
        <v>29</v>
      </c>
      <c r="U9" t="s">
        <v>30</v>
      </c>
      <c r="V9" t="s">
        <v>31</v>
      </c>
      <c r="W9" t="s">
        <v>32</v>
      </c>
      <c r="X9" t="s">
        <v>33</v>
      </c>
      <c r="Y9" t="s">
        <v>34</v>
      </c>
      <c r="Z9" t="s">
        <v>35</v>
      </c>
    </row>
    <row r="10" spans="2:26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1289.99</v>
      </c>
      <c r="H10" s="3">
        <f t="shared" ref="H10:H41" si="2">G10-E10</f>
        <v>289.99</v>
      </c>
      <c r="I10" s="3">
        <f t="shared" ref="I10:I41" si="3">E10</f>
        <v>1000</v>
      </c>
      <c r="J10" s="3">
        <v>0</v>
      </c>
      <c r="K10" s="3">
        <f t="shared" ref="K10:K41" si="4">C10 - H10</f>
        <v>99710.01</v>
      </c>
      <c r="M10" t="s">
        <v>20</v>
      </c>
      <c r="N10" s="3">
        <f>SUM(G12:G23)</f>
        <v>15479.88</v>
      </c>
      <c r="O10" s="3">
        <f>SUM(G24:G35)</f>
        <v>15479.88</v>
      </c>
      <c r="P10" s="3">
        <f>SUM(G36:G47)</f>
        <v>15479.88</v>
      </c>
      <c r="Q10" s="3">
        <f>SUM(G48:G59)</f>
        <v>15479.88</v>
      </c>
      <c r="R10" s="3">
        <f>SUM(G60:G71)</f>
        <v>15479.88</v>
      </c>
      <c r="S10" s="3">
        <f>SUM(G72:G83)</f>
        <v>15479.88</v>
      </c>
      <c r="T10" s="3">
        <f>SUM(G84:G95)</f>
        <v>15479.88</v>
      </c>
      <c r="U10" s="3">
        <f>SUM(G96:G107)</f>
        <v>15479.88</v>
      </c>
      <c r="V10" s="3">
        <f>SUM(G108:G119)</f>
        <v>15479.88</v>
      </c>
      <c r="W10" s="3">
        <f>SUM(G120:G131)</f>
        <v>15479.88</v>
      </c>
      <c r="X10" s="3">
        <f>SUM(G132:G143)</f>
        <v>15479.88</v>
      </c>
      <c r="Y10" s="3">
        <f>SUM(G144:G155)</f>
        <v>15479.88</v>
      </c>
      <c r="Z10" s="3">
        <f>SUM(G156:G159)</f>
        <v>5159.96</v>
      </c>
    </row>
    <row r="11" spans="2:26" x14ac:dyDescent="0.3">
      <c r="B11" s="2">
        <v>45701</v>
      </c>
      <c r="C11" s="3">
        <f t="shared" ref="C11:C42" si="5">K10</f>
        <v>99710.01</v>
      </c>
      <c r="D11" s="3">
        <v>30.416699999999999</v>
      </c>
      <c r="E11" s="3">
        <f t="shared" si="0"/>
        <v>997.10119271243821</v>
      </c>
      <c r="F11" s="3">
        <v>0</v>
      </c>
      <c r="G11" s="3">
        <f t="shared" si="1"/>
        <v>1289.99</v>
      </c>
      <c r="H11" s="3">
        <f t="shared" si="2"/>
        <v>292.8888072875618</v>
      </c>
      <c r="I11" s="3">
        <f t="shared" si="3"/>
        <v>997.10119271243821</v>
      </c>
      <c r="J11" s="3">
        <v>0</v>
      </c>
      <c r="K11" s="3">
        <f t="shared" si="4"/>
        <v>99417.121192712439</v>
      </c>
      <c r="M11" t="s">
        <v>21</v>
      </c>
      <c r="N11" s="3">
        <f>SUM(G24:G71)</f>
        <v>61919.519999999975</v>
      </c>
      <c r="O11" s="3">
        <f>SUM(G36:G83)</f>
        <v>61919.519999999975</v>
      </c>
      <c r="P11" s="3">
        <f>SUM(G48:G95)</f>
        <v>61919.519999999975</v>
      </c>
      <c r="Q11" s="3">
        <f>SUM(G60:G107)</f>
        <v>61919.519999999975</v>
      </c>
      <c r="R11" s="3">
        <f>SUM(G72:G119)</f>
        <v>61919.519999999975</v>
      </c>
      <c r="S11" s="3">
        <f>SUM(G84:G131)</f>
        <v>61919.519999999975</v>
      </c>
      <c r="T11" s="3">
        <f>SUM(G96:G143)</f>
        <v>61919.519999999975</v>
      </c>
      <c r="U11" s="3">
        <f>SUM(G108:G155)</f>
        <v>61919.519999999975</v>
      </c>
      <c r="V11" s="3">
        <f>SUM(G120:G159)</f>
        <v>51599.599999999991</v>
      </c>
      <c r="W11" s="3">
        <f>SUM(G132:G159)</f>
        <v>36119.720000000016</v>
      </c>
      <c r="X11" s="3">
        <f>SUM(G144:G159)</f>
        <v>20639.840000000004</v>
      </c>
      <c r="Y11" s="3">
        <f>SUM(G156:G159)</f>
        <v>5159.96</v>
      </c>
    </row>
    <row r="12" spans="2:26" x14ac:dyDescent="0.3">
      <c r="B12" s="2">
        <v>45729</v>
      </c>
      <c r="C12" s="3">
        <f t="shared" si="5"/>
        <v>99417.121192712439</v>
      </c>
      <c r="D12" s="3">
        <v>30.416699999999999</v>
      </c>
      <c r="E12" s="3">
        <f t="shared" si="0"/>
        <v>994.17230142982237</v>
      </c>
      <c r="F12" s="3">
        <v>0</v>
      </c>
      <c r="G12" s="3">
        <f t="shared" si="1"/>
        <v>1289.99</v>
      </c>
      <c r="H12" s="3">
        <f t="shared" si="2"/>
        <v>295.81769857017764</v>
      </c>
      <c r="I12" s="3">
        <f t="shared" si="3"/>
        <v>994.17230142982237</v>
      </c>
      <c r="J12" s="3">
        <v>0</v>
      </c>
      <c r="K12" s="3">
        <f t="shared" si="4"/>
        <v>99121.303494142267</v>
      </c>
      <c r="M12" t="s">
        <v>22</v>
      </c>
      <c r="N12" s="3">
        <f>SUM(G72:G159)</f>
        <v>113519.12000000017</v>
      </c>
      <c r="O12" s="3">
        <f>SUM(G84:G159)</f>
        <v>98039.240000000107</v>
      </c>
      <c r="P12" s="3">
        <f>SUM(G96:G159)</f>
        <v>82559.360000000044</v>
      </c>
      <c r="Q12" s="3">
        <f>SUM(G108:G159)</f>
        <v>67079.479999999981</v>
      </c>
      <c r="R12" s="3">
        <f>SUM(G120:G159)</f>
        <v>51599.599999999991</v>
      </c>
      <c r="S12" s="3">
        <f>SUM(G132:G159)</f>
        <v>36119.720000000016</v>
      </c>
      <c r="T12" s="3">
        <f>SUM(G144:G159)</f>
        <v>20639.840000000004</v>
      </c>
      <c r="U12" s="3">
        <f>SUM(G156:G159)</f>
        <v>5159.96</v>
      </c>
    </row>
    <row r="13" spans="2:26" x14ac:dyDescent="0.3">
      <c r="B13" s="2">
        <v>45760</v>
      </c>
      <c r="C13" s="3">
        <f t="shared" si="5"/>
        <v>99121.303494142267</v>
      </c>
      <c r="D13" s="3">
        <v>30.416699999999999</v>
      </c>
      <c r="E13" s="3">
        <f t="shared" si="0"/>
        <v>991.21412120228285</v>
      </c>
      <c r="F13" s="3">
        <v>0</v>
      </c>
      <c r="G13" s="3">
        <f t="shared" si="1"/>
        <v>1289.99</v>
      </c>
      <c r="H13" s="3">
        <f t="shared" si="2"/>
        <v>298.77587879771716</v>
      </c>
      <c r="I13" s="3">
        <f t="shared" si="3"/>
        <v>991.21412120228285</v>
      </c>
      <c r="J13" s="3">
        <v>0</v>
      </c>
      <c r="K13" s="3">
        <f t="shared" si="4"/>
        <v>98822.527615344545</v>
      </c>
    </row>
    <row r="14" spans="2:26" x14ac:dyDescent="0.3">
      <c r="B14" s="2">
        <v>45790</v>
      </c>
      <c r="C14" s="3">
        <f t="shared" si="5"/>
        <v>98822.527615344545</v>
      </c>
      <c r="D14" s="3">
        <v>30.416699999999999</v>
      </c>
      <c r="E14" s="3">
        <f t="shared" si="0"/>
        <v>988.22635914004923</v>
      </c>
      <c r="F14" s="3">
        <v>0</v>
      </c>
      <c r="G14" s="3">
        <f t="shared" si="1"/>
        <v>1289.99</v>
      </c>
      <c r="H14" s="3">
        <f t="shared" si="2"/>
        <v>301.76364085995078</v>
      </c>
      <c r="I14" s="3">
        <f t="shared" si="3"/>
        <v>988.22635914004923</v>
      </c>
      <c r="J14" s="3">
        <v>0</v>
      </c>
      <c r="K14" s="3">
        <f t="shared" si="4"/>
        <v>98520.763974484595</v>
      </c>
      <c r="M14" t="s">
        <v>23</v>
      </c>
      <c r="N14" s="3">
        <f t="shared" ref="N14:Z14" si="6">SUM(N10,N11,N12)</f>
        <v>190918.52000000014</v>
      </c>
      <c r="O14" s="3">
        <f t="shared" si="6"/>
        <v>175438.64000000007</v>
      </c>
      <c r="P14" s="3">
        <f t="shared" si="6"/>
        <v>159958.76</v>
      </c>
      <c r="Q14" s="3">
        <f t="shared" si="6"/>
        <v>144478.87999999995</v>
      </c>
      <c r="R14" s="3">
        <f t="shared" si="6"/>
        <v>128998.99999999997</v>
      </c>
      <c r="S14" s="3">
        <f t="shared" si="6"/>
        <v>113519.12</v>
      </c>
      <c r="T14" s="3">
        <f t="shared" si="6"/>
        <v>98039.239999999991</v>
      </c>
      <c r="U14" s="3">
        <f t="shared" si="6"/>
        <v>82559.359999999986</v>
      </c>
      <c r="V14" s="3">
        <f t="shared" si="6"/>
        <v>67079.48</v>
      </c>
      <c r="W14" s="3">
        <f t="shared" si="6"/>
        <v>51599.600000000013</v>
      </c>
      <c r="X14" s="3">
        <f t="shared" si="6"/>
        <v>36119.72</v>
      </c>
      <c r="Y14" s="3">
        <f t="shared" si="6"/>
        <v>20639.84</v>
      </c>
      <c r="Z14" s="3">
        <f t="shared" si="6"/>
        <v>5159.96</v>
      </c>
    </row>
    <row r="15" spans="2:26" x14ac:dyDescent="0.3">
      <c r="B15" s="2">
        <v>45821</v>
      </c>
      <c r="C15" s="3">
        <f t="shared" si="5"/>
        <v>98520.763974484595</v>
      </c>
      <c r="D15" s="3">
        <v>30.416699999999999</v>
      </c>
      <c r="E15" s="3">
        <f t="shared" si="0"/>
        <v>985.20871942445115</v>
      </c>
      <c r="F15" s="3">
        <v>0</v>
      </c>
      <c r="G15" s="3">
        <f t="shared" si="1"/>
        <v>1289.99</v>
      </c>
      <c r="H15" s="3">
        <f t="shared" si="2"/>
        <v>304.78128057554886</v>
      </c>
      <c r="I15" s="3">
        <f t="shared" si="3"/>
        <v>985.20871942445115</v>
      </c>
      <c r="J15" s="3">
        <v>0</v>
      </c>
      <c r="K15" s="3">
        <f t="shared" si="4"/>
        <v>98215.982693909042</v>
      </c>
    </row>
    <row r="16" spans="2:26" x14ac:dyDescent="0.3">
      <c r="B16" s="2">
        <v>45851</v>
      </c>
      <c r="C16" s="3">
        <f t="shared" si="5"/>
        <v>98215.982693909042</v>
      </c>
      <c r="D16" s="3">
        <v>30.416699999999999</v>
      </c>
      <c r="E16" s="3">
        <f t="shared" si="0"/>
        <v>982.16090327862662</v>
      </c>
      <c r="F16" s="3">
        <v>0</v>
      </c>
      <c r="G16" s="3">
        <f t="shared" si="1"/>
        <v>1289.99</v>
      </c>
      <c r="H16" s="3">
        <f t="shared" si="2"/>
        <v>307.82909672137339</v>
      </c>
      <c r="I16" s="3">
        <f t="shared" si="3"/>
        <v>982.16090327862662</v>
      </c>
      <c r="J16" s="3">
        <v>0</v>
      </c>
      <c r="K16" s="3">
        <f t="shared" si="4"/>
        <v>97908.153597187673</v>
      </c>
      <c r="M16" t="s">
        <v>24</v>
      </c>
      <c r="N16" s="3">
        <f>-SUM(E12:E159)</f>
        <v>-91500.855963258335</v>
      </c>
      <c r="O16" s="3">
        <f>-SUM(E24:E159)</f>
        <v>-79772.685045448845</v>
      </c>
      <c r="P16" s="3">
        <f>-SUM(E36:E159)</f>
        <v>-68520.32529547796</v>
      </c>
      <c r="Q16" s="3">
        <f>-SUM(E48:E159)</f>
        <v>-57804.121548853997</v>
      </c>
      <c r="R16" s="3">
        <f>-SUM(E60:E159)</f>
        <v>-47692.071885520592</v>
      </c>
      <c r="S16" s="3">
        <f>-SUM(E72:E159)</f>
        <v>-38260.798253935784</v>
      </c>
      <c r="T16" s="3">
        <f>-SUM(E84:E159)</f>
        <v>-29596.640194721323</v>
      </c>
      <c r="U16" s="3">
        <f>-SUM(E96:E159)</f>
        <v>-21796.887276007434</v>
      </c>
      <c r="V16" s="3">
        <f>-SUM(E108:E159)</f>
        <v>-14971.167832608204</v>
      </c>
      <c r="W16" s="3">
        <f>-SUM(E120:E159)</f>
        <v>-9243.0138322882285</v>
      </c>
      <c r="X16" s="3">
        <f>-SUM(E132:E159)</f>
        <v>-4751.6242064704966</v>
      </c>
      <c r="Y16" s="3">
        <f>-SUM(E144:E159)</f>
        <v>-1653.8518156730293</v>
      </c>
      <c r="Z16" s="3">
        <f>-SUM(E156:E159)</f>
        <v>-126.44241218850068</v>
      </c>
    </row>
    <row r="17" spans="2:26" x14ac:dyDescent="0.3">
      <c r="B17" s="2">
        <v>45882</v>
      </c>
      <c r="C17" s="3">
        <f t="shared" si="5"/>
        <v>97908.153597187673</v>
      </c>
      <c r="D17" s="3">
        <v>30.416699999999999</v>
      </c>
      <c r="E17" s="3">
        <f t="shared" si="0"/>
        <v>979.08260893794352</v>
      </c>
      <c r="F17" s="3">
        <v>0</v>
      </c>
      <c r="G17" s="3">
        <f t="shared" si="1"/>
        <v>1289.99</v>
      </c>
      <c r="H17" s="3">
        <f t="shared" si="2"/>
        <v>310.90739106205649</v>
      </c>
      <c r="I17" s="3">
        <f t="shared" si="3"/>
        <v>979.08260893794352</v>
      </c>
      <c r="J17" s="3">
        <v>0</v>
      </c>
      <c r="K17" s="3">
        <f t="shared" si="4"/>
        <v>97597.246206125623</v>
      </c>
      <c r="M17" t="s">
        <v>25</v>
      </c>
      <c r="N17" s="3">
        <f t="shared" ref="N17:Z17" si="7">SUM(N14,N16)</f>
        <v>99417.6640367418</v>
      </c>
      <c r="O17" s="3">
        <f t="shared" si="7"/>
        <v>95665.954954551227</v>
      </c>
      <c r="P17" s="3">
        <f t="shared" si="7"/>
        <v>91438.434704522049</v>
      </c>
      <c r="Q17" s="3">
        <f t="shared" si="7"/>
        <v>86674.758451145957</v>
      </c>
      <c r="R17" s="3">
        <f t="shared" si="7"/>
        <v>81306.928114479379</v>
      </c>
      <c r="S17" s="3">
        <f t="shared" si="7"/>
        <v>75258.321746064204</v>
      </c>
      <c r="T17" s="3">
        <f t="shared" si="7"/>
        <v>68442.599805278674</v>
      </c>
      <c r="U17" s="3">
        <f t="shared" si="7"/>
        <v>60762.472723992556</v>
      </c>
      <c r="V17" s="3">
        <f t="shared" si="7"/>
        <v>52108.312167391792</v>
      </c>
      <c r="W17" s="3">
        <f t="shared" si="7"/>
        <v>42356.586167711786</v>
      </c>
      <c r="X17" s="3">
        <f t="shared" si="7"/>
        <v>31368.095793529505</v>
      </c>
      <c r="Y17" s="3">
        <f t="shared" si="7"/>
        <v>18985.988184326972</v>
      </c>
      <c r="Z17" s="3">
        <f t="shared" si="7"/>
        <v>5033.5175878114997</v>
      </c>
    </row>
    <row r="18" spans="2:26" x14ac:dyDescent="0.3">
      <c r="B18" s="2">
        <v>45913</v>
      </c>
      <c r="C18" s="3">
        <f t="shared" si="5"/>
        <v>97597.246206125623</v>
      </c>
      <c r="D18" s="3">
        <v>30.416699999999999</v>
      </c>
      <c r="E18" s="3">
        <f t="shared" si="0"/>
        <v>975.97353162011871</v>
      </c>
      <c r="F18" s="3">
        <v>0</v>
      </c>
      <c r="G18" s="3">
        <f t="shared" si="1"/>
        <v>1289.99</v>
      </c>
      <c r="H18" s="3">
        <f t="shared" si="2"/>
        <v>314.0164683798813</v>
      </c>
      <c r="I18" s="3">
        <f t="shared" si="3"/>
        <v>975.97353162011871</v>
      </c>
      <c r="J18" s="3">
        <v>0</v>
      </c>
      <c r="K18" s="3">
        <f t="shared" si="4"/>
        <v>97283.229737745743</v>
      </c>
    </row>
    <row r="19" spans="2:26" x14ac:dyDescent="0.3">
      <c r="B19" s="2">
        <v>45943</v>
      </c>
      <c r="C19" s="3">
        <f t="shared" si="5"/>
        <v>97283.229737745743</v>
      </c>
      <c r="D19" s="3">
        <v>30.416699999999999</v>
      </c>
      <c r="E19" s="3">
        <f t="shared" si="0"/>
        <v>972.83336349504339</v>
      </c>
      <c r="F19" s="3">
        <v>0</v>
      </c>
      <c r="G19" s="3">
        <f t="shared" si="1"/>
        <v>1289.99</v>
      </c>
      <c r="H19" s="3">
        <f t="shared" si="2"/>
        <v>317.15663650495662</v>
      </c>
      <c r="I19" s="3">
        <f t="shared" si="3"/>
        <v>972.83336349504339</v>
      </c>
      <c r="J19" s="3">
        <v>0</v>
      </c>
      <c r="K19" s="3">
        <f t="shared" si="4"/>
        <v>96966.073101240792</v>
      </c>
      <c r="M19" t="s">
        <v>20</v>
      </c>
      <c r="N19" s="3">
        <f>SUM(H12:H23)</f>
        <v>3751.7090821904949</v>
      </c>
      <c r="O19" s="3">
        <f>SUM(H24:H35)</f>
        <v>4227.5202500290834</v>
      </c>
      <c r="P19" s="3">
        <f>SUM(H36:H47)</f>
        <v>4763.6762533760111</v>
      </c>
      <c r="Q19" s="3">
        <f>SUM(H48:H59)</f>
        <v>5367.830336666605</v>
      </c>
      <c r="R19" s="3">
        <f>SUM(H60:H71)</f>
        <v>6048.606368415185</v>
      </c>
      <c r="S19" s="3">
        <f>SUM(H72:H83)</f>
        <v>6815.7219407855264</v>
      </c>
      <c r="T19" s="3">
        <f>SUM(H84:H95)</f>
        <v>7680.1270812861276</v>
      </c>
      <c r="U19" s="3">
        <f>SUM(H96:H107)</f>
        <v>8654.1605566007747</v>
      </c>
      <c r="V19" s="3">
        <f>SUM(H108:H119)</f>
        <v>9751.7259996800276</v>
      </c>
      <c r="W19" s="3">
        <f>SUM(H120:H131)</f>
        <v>10988.490374182262</v>
      </c>
      <c r="X19" s="3">
        <f>SUM(H132:H143)</f>
        <v>12382.107609202536</v>
      </c>
      <c r="Y19" s="3">
        <f>SUM(H144:H155)</f>
        <v>13952.470596515474</v>
      </c>
      <c r="Z19" s="3">
        <f>SUM(H156:H159)</f>
        <v>5033.5175878114987</v>
      </c>
    </row>
    <row r="20" spans="2:26" x14ac:dyDescent="0.3">
      <c r="B20" s="2">
        <v>45974</v>
      </c>
      <c r="C20" s="3">
        <f t="shared" si="5"/>
        <v>96966.073101240792</v>
      </c>
      <c r="D20" s="3">
        <v>30.416699999999999</v>
      </c>
      <c r="E20" s="3">
        <f t="shared" si="0"/>
        <v>969.66179365430492</v>
      </c>
      <c r="F20" s="3">
        <v>0</v>
      </c>
      <c r="G20" s="3">
        <f t="shared" si="1"/>
        <v>1289.99</v>
      </c>
      <c r="H20" s="3">
        <f t="shared" si="2"/>
        <v>320.32820634569509</v>
      </c>
      <c r="I20" s="3">
        <f t="shared" si="3"/>
        <v>969.66179365430492</v>
      </c>
      <c r="J20" s="3">
        <v>0</v>
      </c>
      <c r="K20" s="3">
        <f t="shared" si="4"/>
        <v>96645.744894895091</v>
      </c>
      <c r="M20" t="s">
        <v>21</v>
      </c>
      <c r="N20" s="3">
        <f>SUM(H24:H71)</f>
        <v>20407.633208486881</v>
      </c>
      <c r="O20" s="3">
        <f>SUM(H36:H83)</f>
        <v>22995.834899243328</v>
      </c>
      <c r="P20" s="3">
        <f>SUM(H48:H95)</f>
        <v>25912.285727153445</v>
      </c>
      <c r="Q20" s="3">
        <f>SUM(H60:H107)</f>
        <v>29198.615947087608</v>
      </c>
      <c r="R20" s="3">
        <f>SUM(H72:H119)</f>
        <v>32901.735578352454</v>
      </c>
      <c r="S20" s="3">
        <f>SUM(H84:H131)</f>
        <v>37074.504011749203</v>
      </c>
      <c r="T20" s="3">
        <f>SUM(H96:H143)</f>
        <v>41776.484539665609</v>
      </c>
      <c r="U20" s="3">
        <f>SUM(H108:H155)</f>
        <v>47074.794579580295</v>
      </c>
      <c r="V20" s="3">
        <f>SUM(H120:H159)</f>
        <v>42356.58616771175</v>
      </c>
      <c r="W20" s="3">
        <f>SUM(H132:H159)</f>
        <v>31368.095793529508</v>
      </c>
      <c r="X20" s="3">
        <f>SUM(H144:H159)</f>
        <v>18985.988184326976</v>
      </c>
      <c r="Y20" s="3">
        <f>SUM(H156:H159)</f>
        <v>5033.5175878114987</v>
      </c>
    </row>
    <row r="21" spans="2:26" x14ac:dyDescent="0.3">
      <c r="B21" s="2">
        <v>46004</v>
      </c>
      <c r="C21" s="3">
        <f t="shared" si="5"/>
        <v>96645.744894895091</v>
      </c>
      <c r="D21" s="3">
        <v>30.416699999999999</v>
      </c>
      <c r="E21" s="3">
        <f t="shared" si="0"/>
        <v>966.45850808040166</v>
      </c>
      <c r="F21" s="3">
        <v>0</v>
      </c>
      <c r="G21" s="3">
        <f t="shared" si="1"/>
        <v>1289.99</v>
      </c>
      <c r="H21" s="3">
        <f t="shared" si="2"/>
        <v>323.53149191959835</v>
      </c>
      <c r="I21" s="3">
        <f t="shared" si="3"/>
        <v>966.45850808040166</v>
      </c>
      <c r="J21" s="3">
        <v>0</v>
      </c>
      <c r="K21" s="3">
        <f t="shared" si="4"/>
        <v>96322.213402975496</v>
      </c>
      <c r="M21" t="s">
        <v>22</v>
      </c>
      <c r="N21" s="3">
        <f>SUM(H72:H159)</f>
        <v>75258.321746064219</v>
      </c>
      <c r="O21" s="3">
        <f>SUM(H84:H159)</f>
        <v>68442.599805278704</v>
      </c>
      <c r="P21" s="3">
        <f>SUM(H96:H159)</f>
        <v>60762.472723992571</v>
      </c>
      <c r="Q21" s="3">
        <f>SUM(H108:H159)</f>
        <v>52108.312167391785</v>
      </c>
      <c r="R21" s="3">
        <f>SUM(H120:H159)</f>
        <v>42356.58616771175</v>
      </c>
      <c r="S21" s="3">
        <f>SUM(H132:H159)</f>
        <v>31368.095793529508</v>
      </c>
      <c r="T21" s="3">
        <f>SUM(H144:H159)</f>
        <v>18985.988184326976</v>
      </c>
      <c r="U21" s="3">
        <f>SUM(H156:H159)</f>
        <v>5033.5175878114987</v>
      </c>
    </row>
    <row r="22" spans="2:26" x14ac:dyDescent="0.3">
      <c r="B22" s="2">
        <v>46035</v>
      </c>
      <c r="C22" s="3">
        <f t="shared" si="5"/>
        <v>96322.213402975496</v>
      </c>
      <c r="D22" s="3">
        <v>30.416699999999999</v>
      </c>
      <c r="E22" s="3">
        <f t="shared" si="0"/>
        <v>963.2231896156552</v>
      </c>
      <c r="F22" s="3">
        <v>0</v>
      </c>
      <c r="G22" s="3">
        <f t="shared" si="1"/>
        <v>1289.99</v>
      </c>
      <c r="H22" s="3">
        <f t="shared" si="2"/>
        <v>326.76681038434481</v>
      </c>
      <c r="I22" s="3">
        <f t="shared" si="3"/>
        <v>963.2231896156552</v>
      </c>
      <c r="J22" s="3">
        <v>0</v>
      </c>
      <c r="K22" s="3">
        <f t="shared" si="4"/>
        <v>95995.44659259115</v>
      </c>
      <c r="M22" t="s">
        <v>27</v>
      </c>
      <c r="N22" s="3">
        <f t="shared" ref="N22:Z22" si="8">SUM(N19,N20,N21)</f>
        <v>99417.664036741597</v>
      </c>
      <c r="O22" s="3">
        <f t="shared" si="8"/>
        <v>95665.954954551111</v>
      </c>
      <c r="P22" s="3">
        <f t="shared" si="8"/>
        <v>91438.43470452202</v>
      </c>
      <c r="Q22" s="3">
        <f t="shared" si="8"/>
        <v>86674.758451146001</v>
      </c>
      <c r="R22" s="3">
        <f t="shared" si="8"/>
        <v>81306.928114479393</v>
      </c>
      <c r="S22" s="3">
        <f t="shared" si="8"/>
        <v>75258.321746064234</v>
      </c>
      <c r="T22" s="3">
        <f t="shared" si="8"/>
        <v>68442.599805278704</v>
      </c>
      <c r="U22" s="3">
        <f t="shared" si="8"/>
        <v>60762.472723992571</v>
      </c>
      <c r="V22" s="3">
        <f t="shared" si="8"/>
        <v>52108.312167391778</v>
      </c>
      <c r="W22" s="3">
        <f t="shared" si="8"/>
        <v>42356.586167711772</v>
      </c>
      <c r="X22" s="3">
        <f t="shared" si="8"/>
        <v>31368.095793529512</v>
      </c>
      <c r="Y22" s="3">
        <f t="shared" si="8"/>
        <v>18985.988184326972</v>
      </c>
      <c r="Z22" s="3">
        <f t="shared" si="8"/>
        <v>5033.5175878114987</v>
      </c>
    </row>
    <row r="23" spans="2:26" x14ac:dyDescent="0.3">
      <c r="B23" s="2">
        <v>46066</v>
      </c>
      <c r="C23" s="3">
        <f t="shared" si="5"/>
        <v>95995.44659259115</v>
      </c>
      <c r="D23" s="3">
        <v>30.416699999999999</v>
      </c>
      <c r="E23" s="3">
        <f t="shared" si="0"/>
        <v>959.95551793080551</v>
      </c>
      <c r="F23" s="3">
        <v>0</v>
      </c>
      <c r="G23" s="3">
        <f t="shared" si="1"/>
        <v>1289.99</v>
      </c>
      <c r="H23" s="3">
        <f t="shared" si="2"/>
        <v>330.0344820691945</v>
      </c>
      <c r="I23" s="3">
        <f t="shared" si="3"/>
        <v>959.95551793080551</v>
      </c>
      <c r="J23" s="3">
        <v>0</v>
      </c>
      <c r="K23" s="3">
        <f t="shared" si="4"/>
        <v>95665.412110521953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2:26" x14ac:dyDescent="0.3">
      <c r="B24" s="2">
        <v>46094</v>
      </c>
      <c r="C24" s="3">
        <f t="shared" si="5"/>
        <v>95665.412110521953</v>
      </c>
      <c r="D24" s="3">
        <v>30.416699999999999</v>
      </c>
      <c r="E24" s="3">
        <f t="shared" si="0"/>
        <v>956.65516949329742</v>
      </c>
      <c r="F24" s="3">
        <v>0</v>
      </c>
      <c r="G24" s="3">
        <f t="shared" si="1"/>
        <v>1289.99</v>
      </c>
      <c r="H24" s="3">
        <f t="shared" si="2"/>
        <v>333.33483050670259</v>
      </c>
      <c r="I24" s="3">
        <f t="shared" si="3"/>
        <v>956.65516949329742</v>
      </c>
      <c r="J24" s="3">
        <v>0</v>
      </c>
      <c r="K24" s="3">
        <f t="shared" si="4"/>
        <v>95332.077280015248</v>
      </c>
    </row>
    <row r="25" spans="2:26" x14ac:dyDescent="0.3">
      <c r="B25" s="2">
        <v>46125</v>
      </c>
      <c r="C25" s="3">
        <f t="shared" si="5"/>
        <v>95332.077280015248</v>
      </c>
      <c r="D25" s="3">
        <v>30.416699999999999</v>
      </c>
      <c r="E25" s="3">
        <f t="shared" si="0"/>
        <v>953.32181753524583</v>
      </c>
      <c r="F25" s="3">
        <v>0</v>
      </c>
      <c r="G25" s="3">
        <f t="shared" si="1"/>
        <v>1289.99</v>
      </c>
      <c r="H25" s="3">
        <f t="shared" si="2"/>
        <v>336.66818246475418</v>
      </c>
      <c r="I25" s="3">
        <f t="shared" si="3"/>
        <v>953.32181753524583</v>
      </c>
      <c r="J25" s="3">
        <v>0</v>
      </c>
      <c r="K25" s="3">
        <f t="shared" si="4"/>
        <v>94995.409097550495</v>
      </c>
    </row>
    <row r="26" spans="2:26" x14ac:dyDescent="0.3">
      <c r="B26" s="2">
        <v>46155</v>
      </c>
      <c r="C26" s="3">
        <f t="shared" si="5"/>
        <v>94995.409097550495</v>
      </c>
      <c r="D26" s="3">
        <v>30.416699999999999</v>
      </c>
      <c r="E26" s="3">
        <f t="shared" si="0"/>
        <v>949.95513202108407</v>
      </c>
      <c r="F26" s="3">
        <v>0</v>
      </c>
      <c r="G26" s="3">
        <f t="shared" si="1"/>
        <v>1289.99</v>
      </c>
      <c r="H26" s="3">
        <f t="shared" si="2"/>
        <v>340.03486797891594</v>
      </c>
      <c r="I26" s="3">
        <f t="shared" si="3"/>
        <v>949.95513202108407</v>
      </c>
      <c r="J26" s="3">
        <v>0</v>
      </c>
      <c r="K26" s="3">
        <f t="shared" si="4"/>
        <v>94655.374229571578</v>
      </c>
    </row>
    <row r="27" spans="2:26" x14ac:dyDescent="0.3">
      <c r="B27" s="2">
        <v>46186</v>
      </c>
      <c r="C27" s="3">
        <f t="shared" si="5"/>
        <v>94655.374229571578</v>
      </c>
      <c r="D27" s="3">
        <v>30.416699999999999</v>
      </c>
      <c r="E27" s="3">
        <f t="shared" si="0"/>
        <v>946.55477961488532</v>
      </c>
      <c r="F27" s="3">
        <v>0</v>
      </c>
      <c r="G27" s="3">
        <f t="shared" si="1"/>
        <v>1289.99</v>
      </c>
      <c r="H27" s="3">
        <f t="shared" si="2"/>
        <v>343.43522038511469</v>
      </c>
      <c r="I27" s="3">
        <f t="shared" si="3"/>
        <v>946.55477961488532</v>
      </c>
      <c r="J27" s="3">
        <v>0</v>
      </c>
      <c r="K27" s="3">
        <f t="shared" si="4"/>
        <v>94311.939009186462</v>
      </c>
    </row>
    <row r="28" spans="2:26" x14ac:dyDescent="0.3">
      <c r="B28" s="2">
        <v>46216</v>
      </c>
      <c r="C28" s="3">
        <f t="shared" si="5"/>
        <v>94311.939009186462</v>
      </c>
      <c r="D28" s="3">
        <v>30.416699999999999</v>
      </c>
      <c r="E28" s="3">
        <f t="shared" si="0"/>
        <v>943.12042364736055</v>
      </c>
      <c r="F28" s="3">
        <v>0</v>
      </c>
      <c r="G28" s="3">
        <f t="shared" si="1"/>
        <v>1289.99</v>
      </c>
      <c r="H28" s="3">
        <f t="shared" si="2"/>
        <v>346.86957635263946</v>
      </c>
      <c r="I28" s="3">
        <f t="shared" si="3"/>
        <v>943.12042364736055</v>
      </c>
      <c r="J28" s="3">
        <v>0</v>
      </c>
      <c r="K28" s="3">
        <f t="shared" si="4"/>
        <v>93965.069432833829</v>
      </c>
    </row>
    <row r="29" spans="2:26" x14ac:dyDescent="0.3">
      <c r="B29" s="2">
        <v>46247</v>
      </c>
      <c r="C29" s="3">
        <f t="shared" si="5"/>
        <v>93965.069432833829</v>
      </c>
      <c r="D29" s="3">
        <v>30.416699999999999</v>
      </c>
      <c r="E29" s="3">
        <f t="shared" si="0"/>
        <v>939.65172408252386</v>
      </c>
      <c r="F29" s="3">
        <v>0</v>
      </c>
      <c r="G29" s="3">
        <f t="shared" si="1"/>
        <v>1289.99</v>
      </c>
      <c r="H29" s="3">
        <f t="shared" si="2"/>
        <v>350.33827591747615</v>
      </c>
      <c r="I29" s="3">
        <f t="shared" si="3"/>
        <v>939.65172408252386</v>
      </c>
      <c r="J29" s="3">
        <v>0</v>
      </c>
      <c r="K29" s="3">
        <f t="shared" si="4"/>
        <v>93614.731156916358</v>
      </c>
    </row>
    <row r="30" spans="2:26" x14ac:dyDescent="0.3">
      <c r="B30" s="2">
        <v>46278</v>
      </c>
      <c r="C30" s="3">
        <f t="shared" si="5"/>
        <v>93614.731156916358</v>
      </c>
      <c r="D30" s="3">
        <v>30.416699999999999</v>
      </c>
      <c r="E30" s="3">
        <f t="shared" si="0"/>
        <v>936.14833748402543</v>
      </c>
      <c r="F30" s="3">
        <v>0</v>
      </c>
      <c r="G30" s="3">
        <f t="shared" si="1"/>
        <v>1289.99</v>
      </c>
      <c r="H30" s="3">
        <f t="shared" si="2"/>
        <v>353.84166251597458</v>
      </c>
      <c r="I30" s="3">
        <f t="shared" si="3"/>
        <v>936.14833748402543</v>
      </c>
      <c r="J30" s="3">
        <v>0</v>
      </c>
      <c r="K30" s="3">
        <f t="shared" si="4"/>
        <v>93260.889494400384</v>
      </c>
    </row>
    <row r="31" spans="2:26" x14ac:dyDescent="0.3">
      <c r="B31" s="2">
        <v>46308</v>
      </c>
      <c r="C31" s="3">
        <f t="shared" si="5"/>
        <v>93260.889494400384</v>
      </c>
      <c r="D31" s="3">
        <v>30.416699999999999</v>
      </c>
      <c r="E31" s="3">
        <f t="shared" si="0"/>
        <v>932.6099169811489</v>
      </c>
      <c r="F31" s="3">
        <v>0</v>
      </c>
      <c r="G31" s="3">
        <f t="shared" si="1"/>
        <v>1289.99</v>
      </c>
      <c r="H31" s="3">
        <f t="shared" si="2"/>
        <v>357.38008301885111</v>
      </c>
      <c r="I31" s="3">
        <f t="shared" si="3"/>
        <v>932.6099169811489</v>
      </c>
      <c r="J31" s="3">
        <v>0</v>
      </c>
      <c r="K31" s="3">
        <f t="shared" si="4"/>
        <v>92903.509411381528</v>
      </c>
    </row>
    <row r="32" spans="2:26" x14ac:dyDescent="0.3">
      <c r="B32" s="2">
        <v>46339</v>
      </c>
      <c r="C32" s="3">
        <f t="shared" si="5"/>
        <v>92903.509411381528</v>
      </c>
      <c r="D32" s="3">
        <v>30.416699999999999</v>
      </c>
      <c r="E32" s="3">
        <f t="shared" si="0"/>
        <v>929.03611223446615</v>
      </c>
      <c r="F32" s="3">
        <v>0</v>
      </c>
      <c r="G32" s="3">
        <f t="shared" si="1"/>
        <v>1289.99</v>
      </c>
      <c r="H32" s="3">
        <f t="shared" si="2"/>
        <v>360.95388776553386</v>
      </c>
      <c r="I32" s="3">
        <f t="shared" si="3"/>
        <v>929.03611223446615</v>
      </c>
      <c r="J32" s="3">
        <v>0</v>
      </c>
      <c r="K32" s="3">
        <f t="shared" si="4"/>
        <v>92542.555523616</v>
      </c>
    </row>
    <row r="33" spans="2:11" x14ac:dyDescent="0.3">
      <c r="B33" s="2">
        <v>46369</v>
      </c>
      <c r="C33" s="3">
        <f t="shared" si="5"/>
        <v>92542.555523616</v>
      </c>
      <c r="D33" s="3">
        <v>30.416699999999999</v>
      </c>
      <c r="E33" s="3">
        <f t="shared" si="0"/>
        <v>925.42656940115194</v>
      </c>
      <c r="F33" s="3">
        <v>0</v>
      </c>
      <c r="G33" s="3">
        <f t="shared" si="1"/>
        <v>1289.99</v>
      </c>
      <c r="H33" s="3">
        <f t="shared" si="2"/>
        <v>364.56343059884807</v>
      </c>
      <c r="I33" s="3">
        <f t="shared" si="3"/>
        <v>925.42656940115194</v>
      </c>
      <c r="J33" s="3">
        <v>0</v>
      </c>
      <c r="K33" s="3">
        <f t="shared" si="4"/>
        <v>92177.99209301715</v>
      </c>
    </row>
    <row r="34" spans="2:11" x14ac:dyDescent="0.3">
      <c r="B34" s="2">
        <v>46400</v>
      </c>
      <c r="C34" s="3">
        <f t="shared" si="5"/>
        <v>92177.99209301715</v>
      </c>
      <c r="D34" s="3">
        <v>30.416699999999999</v>
      </c>
      <c r="E34" s="3">
        <f t="shared" si="0"/>
        <v>921.78093109994768</v>
      </c>
      <c r="F34" s="3">
        <v>0</v>
      </c>
      <c r="G34" s="3">
        <f t="shared" si="1"/>
        <v>1289.99</v>
      </c>
      <c r="H34" s="3">
        <f t="shared" si="2"/>
        <v>368.20906890005233</v>
      </c>
      <c r="I34" s="3">
        <f t="shared" si="3"/>
        <v>921.78093109994768</v>
      </c>
      <c r="J34" s="3">
        <v>0</v>
      </c>
      <c r="K34" s="3">
        <f t="shared" si="4"/>
        <v>91809.783024117103</v>
      </c>
    </row>
    <row r="35" spans="2:11" x14ac:dyDescent="0.3">
      <c r="B35" s="2">
        <v>46431</v>
      </c>
      <c r="C35" s="3">
        <f t="shared" si="5"/>
        <v>91809.783024117103</v>
      </c>
      <c r="D35" s="3">
        <v>30.416699999999999</v>
      </c>
      <c r="E35" s="3">
        <f t="shared" si="0"/>
        <v>918.09883637577946</v>
      </c>
      <c r="F35" s="3">
        <v>0</v>
      </c>
      <c r="G35" s="3">
        <f t="shared" si="1"/>
        <v>1289.99</v>
      </c>
      <c r="H35" s="3">
        <f t="shared" si="2"/>
        <v>371.89116362422055</v>
      </c>
      <c r="I35" s="3">
        <f t="shared" si="3"/>
        <v>918.09883637577946</v>
      </c>
      <c r="J35" s="3">
        <v>0</v>
      </c>
      <c r="K35" s="3">
        <f t="shared" si="4"/>
        <v>91437.891860492877</v>
      </c>
    </row>
    <row r="36" spans="2:11" x14ac:dyDescent="0.3">
      <c r="B36" s="2">
        <v>46459</v>
      </c>
      <c r="C36" s="3">
        <f t="shared" si="5"/>
        <v>91437.891860492877</v>
      </c>
      <c r="D36" s="3">
        <v>30.416699999999999</v>
      </c>
      <c r="E36" s="3">
        <f t="shared" si="0"/>
        <v>914.37992066401762</v>
      </c>
      <c r="F36" s="3">
        <v>0</v>
      </c>
      <c r="G36" s="3">
        <f t="shared" si="1"/>
        <v>1289.99</v>
      </c>
      <c r="H36" s="3">
        <f t="shared" si="2"/>
        <v>375.61007933598239</v>
      </c>
      <c r="I36" s="3">
        <f t="shared" si="3"/>
        <v>914.37992066401762</v>
      </c>
      <c r="J36" s="3">
        <v>0</v>
      </c>
      <c r="K36" s="3">
        <f t="shared" si="4"/>
        <v>91062.281781156897</v>
      </c>
    </row>
    <row r="37" spans="2:11" x14ac:dyDescent="0.3">
      <c r="B37" s="2">
        <v>46490</v>
      </c>
      <c r="C37" s="3">
        <f t="shared" si="5"/>
        <v>91062.281781156897</v>
      </c>
      <c r="D37" s="3">
        <v>30.416699999999999</v>
      </c>
      <c r="E37" s="3">
        <f t="shared" si="0"/>
        <v>910.62381575438292</v>
      </c>
      <c r="F37" s="3">
        <v>0</v>
      </c>
      <c r="G37" s="3">
        <f t="shared" si="1"/>
        <v>1289.99</v>
      </c>
      <c r="H37" s="3">
        <f t="shared" si="2"/>
        <v>379.36618424561709</v>
      </c>
      <c r="I37" s="3">
        <f t="shared" si="3"/>
        <v>910.62381575438292</v>
      </c>
      <c r="J37" s="3">
        <v>0</v>
      </c>
      <c r="K37" s="3">
        <f t="shared" si="4"/>
        <v>90682.915596911276</v>
      </c>
    </row>
    <row r="38" spans="2:11" x14ac:dyDescent="0.3">
      <c r="B38" s="2">
        <v>46520</v>
      </c>
      <c r="C38" s="3">
        <f t="shared" si="5"/>
        <v>90682.915596911276</v>
      </c>
      <c r="D38" s="3">
        <v>30.416699999999999</v>
      </c>
      <c r="E38" s="3">
        <f t="shared" si="0"/>
        <v>906.83014975448907</v>
      </c>
      <c r="F38" s="3">
        <v>0</v>
      </c>
      <c r="G38" s="3">
        <f t="shared" si="1"/>
        <v>1289.99</v>
      </c>
      <c r="H38" s="3">
        <f t="shared" si="2"/>
        <v>383.15985024551094</v>
      </c>
      <c r="I38" s="3">
        <f t="shared" si="3"/>
        <v>906.83014975448907</v>
      </c>
      <c r="J38" s="3">
        <v>0</v>
      </c>
      <c r="K38" s="3">
        <f t="shared" si="4"/>
        <v>90299.75574666576</v>
      </c>
    </row>
    <row r="39" spans="2:11" x14ac:dyDescent="0.3">
      <c r="B39" s="2">
        <v>46551</v>
      </c>
      <c r="C39" s="3">
        <f t="shared" si="5"/>
        <v>90299.75574666576</v>
      </c>
      <c r="D39" s="3">
        <v>30.416699999999999</v>
      </c>
      <c r="E39" s="3">
        <f t="shared" si="0"/>
        <v>902.99854705302198</v>
      </c>
      <c r="F39" s="3">
        <v>0</v>
      </c>
      <c r="G39" s="3">
        <f t="shared" si="1"/>
        <v>1289.99</v>
      </c>
      <c r="H39" s="3">
        <f t="shared" si="2"/>
        <v>386.99145294697803</v>
      </c>
      <c r="I39" s="3">
        <f t="shared" si="3"/>
        <v>902.99854705302198</v>
      </c>
      <c r="J39" s="3">
        <v>0</v>
      </c>
      <c r="K39" s="3">
        <f t="shared" si="4"/>
        <v>89912.764293718777</v>
      </c>
    </row>
    <row r="40" spans="2:11" x14ac:dyDescent="0.3">
      <c r="B40" s="2">
        <v>46581</v>
      </c>
      <c r="C40" s="3">
        <f t="shared" si="5"/>
        <v>89912.764293718777</v>
      </c>
      <c r="D40" s="3">
        <v>30.416699999999999</v>
      </c>
      <c r="E40" s="3">
        <f t="shared" si="0"/>
        <v>899.1286282825497</v>
      </c>
      <c r="F40" s="3">
        <v>0</v>
      </c>
      <c r="G40" s="3">
        <f t="shared" si="1"/>
        <v>1289.99</v>
      </c>
      <c r="H40" s="3">
        <f t="shared" si="2"/>
        <v>390.86137171745031</v>
      </c>
      <c r="I40" s="3">
        <f t="shared" si="3"/>
        <v>899.1286282825497</v>
      </c>
      <c r="J40" s="3">
        <v>0</v>
      </c>
      <c r="K40" s="3">
        <f t="shared" si="4"/>
        <v>89521.902922001333</v>
      </c>
    </row>
    <row r="41" spans="2:11" x14ac:dyDescent="0.3">
      <c r="B41" s="2">
        <v>46612</v>
      </c>
      <c r="C41" s="3">
        <f t="shared" si="5"/>
        <v>89521.902922001333</v>
      </c>
      <c r="D41" s="3">
        <v>30.416699999999999</v>
      </c>
      <c r="E41" s="3">
        <f t="shared" si="0"/>
        <v>895.22001028196303</v>
      </c>
      <c r="F41" s="3">
        <v>0</v>
      </c>
      <c r="G41" s="3">
        <f t="shared" si="1"/>
        <v>1289.99</v>
      </c>
      <c r="H41" s="3">
        <f t="shared" si="2"/>
        <v>394.76998971803698</v>
      </c>
      <c r="I41" s="3">
        <f t="shared" si="3"/>
        <v>895.22001028196303</v>
      </c>
      <c r="J41" s="3">
        <v>0</v>
      </c>
      <c r="K41" s="3">
        <f t="shared" si="4"/>
        <v>89127.13293228329</v>
      </c>
    </row>
    <row r="42" spans="2:11" x14ac:dyDescent="0.3">
      <c r="B42" s="2">
        <v>46643</v>
      </c>
      <c r="C42" s="3">
        <f t="shared" si="5"/>
        <v>89127.13293228329</v>
      </c>
      <c r="D42" s="3">
        <v>30.416699999999999</v>
      </c>
      <c r="E42" s="3">
        <f t="shared" ref="E42:E73" si="9">C42*$C$3*D42/365</f>
        <v>891.27230605853617</v>
      </c>
      <c r="F42" s="3">
        <v>0</v>
      </c>
      <c r="G42" s="3">
        <f t="shared" ref="G42:G73" si="10">$C$5</f>
        <v>1289.99</v>
      </c>
      <c r="H42" s="3">
        <f t="shared" ref="H42:H73" si="11">G42-E42</f>
        <v>398.71769394146384</v>
      </c>
      <c r="I42" s="3">
        <f t="shared" ref="I42:I73" si="12">E42</f>
        <v>891.27230605853617</v>
      </c>
      <c r="J42" s="3">
        <v>0</v>
      </c>
      <c r="K42" s="3">
        <f t="shared" ref="K42:K73" si="13">C42 - H42</f>
        <v>88728.415238341826</v>
      </c>
    </row>
    <row r="43" spans="2:11" x14ac:dyDescent="0.3">
      <c r="B43" s="2">
        <v>46673</v>
      </c>
      <c r="C43" s="3">
        <f t="shared" ref="C43:C74" si="14">K42</f>
        <v>88728.415238341826</v>
      </c>
      <c r="D43" s="3">
        <v>30.416699999999999</v>
      </c>
      <c r="E43" s="3">
        <f t="shared" si="9"/>
        <v>887.28512474961258</v>
      </c>
      <c r="F43" s="3">
        <v>0</v>
      </c>
      <c r="G43" s="3">
        <f t="shared" si="10"/>
        <v>1289.99</v>
      </c>
      <c r="H43" s="3">
        <f t="shared" si="11"/>
        <v>402.70487525038743</v>
      </c>
      <c r="I43" s="3">
        <f t="shared" si="12"/>
        <v>887.28512474961258</v>
      </c>
      <c r="J43" s="3">
        <v>0</v>
      </c>
      <c r="K43" s="3">
        <f t="shared" si="13"/>
        <v>88325.710363091435</v>
      </c>
    </row>
    <row r="44" spans="2:11" x14ac:dyDescent="0.3">
      <c r="B44" s="2">
        <v>46704</v>
      </c>
      <c r="C44" s="3">
        <f t="shared" si="14"/>
        <v>88325.710363091435</v>
      </c>
      <c r="D44" s="3">
        <v>30.416699999999999</v>
      </c>
      <c r="E44" s="3">
        <f t="shared" si="9"/>
        <v>883.25807158390444</v>
      </c>
      <c r="F44" s="3">
        <v>0</v>
      </c>
      <c r="G44" s="3">
        <f t="shared" si="10"/>
        <v>1289.99</v>
      </c>
      <c r="H44" s="3">
        <f t="shared" si="11"/>
        <v>406.73192841609557</v>
      </c>
      <c r="I44" s="3">
        <f t="shared" si="12"/>
        <v>883.25807158390444</v>
      </c>
      <c r="J44" s="3">
        <v>0</v>
      </c>
      <c r="K44" s="3">
        <f t="shared" si="13"/>
        <v>87918.978434675344</v>
      </c>
    </row>
    <row r="45" spans="2:11" x14ac:dyDescent="0.3">
      <c r="B45" s="2">
        <v>46734</v>
      </c>
      <c r="C45" s="3">
        <f t="shared" si="14"/>
        <v>87918.978434675344</v>
      </c>
      <c r="D45" s="3">
        <v>30.416699999999999</v>
      </c>
      <c r="E45" s="3">
        <f t="shared" si="9"/>
        <v>879.19074784240729</v>
      </c>
      <c r="F45" s="3">
        <v>0</v>
      </c>
      <c r="G45" s="3">
        <f t="shared" si="10"/>
        <v>1289.99</v>
      </c>
      <c r="H45" s="3">
        <f t="shared" si="11"/>
        <v>410.79925215759272</v>
      </c>
      <c r="I45" s="3">
        <f t="shared" si="12"/>
        <v>879.19074784240729</v>
      </c>
      <c r="J45" s="3">
        <v>0</v>
      </c>
      <c r="K45" s="3">
        <f t="shared" si="13"/>
        <v>87508.17918251775</v>
      </c>
    </row>
    <row r="46" spans="2:11" x14ac:dyDescent="0.3">
      <c r="B46" s="2">
        <v>46765</v>
      </c>
      <c r="C46" s="3">
        <f t="shared" si="14"/>
        <v>87508.17918251775</v>
      </c>
      <c r="D46" s="3">
        <v>30.416699999999999</v>
      </c>
      <c r="E46" s="3">
        <f t="shared" si="9"/>
        <v>875.08275081892191</v>
      </c>
      <c r="F46" s="3">
        <v>0</v>
      </c>
      <c r="G46" s="3">
        <f t="shared" si="10"/>
        <v>1289.99</v>
      </c>
      <c r="H46" s="3">
        <f t="shared" si="11"/>
        <v>414.9072491810781</v>
      </c>
      <c r="I46" s="3">
        <f t="shared" si="12"/>
        <v>875.08275081892191</v>
      </c>
      <c r="J46" s="3">
        <v>0</v>
      </c>
      <c r="K46" s="3">
        <f t="shared" si="13"/>
        <v>87093.271933336669</v>
      </c>
    </row>
    <row r="47" spans="2:11" x14ac:dyDescent="0.3">
      <c r="B47" s="2">
        <v>46796</v>
      </c>
      <c r="C47" s="3">
        <f t="shared" si="14"/>
        <v>87093.271933336669</v>
      </c>
      <c r="D47" s="3">
        <v>30.416699999999999</v>
      </c>
      <c r="E47" s="3">
        <f t="shared" si="9"/>
        <v>870.93367378018229</v>
      </c>
      <c r="F47" s="3">
        <v>0</v>
      </c>
      <c r="G47" s="3">
        <f t="shared" si="10"/>
        <v>1289.99</v>
      </c>
      <c r="H47" s="3">
        <f t="shared" si="11"/>
        <v>419.05632621981772</v>
      </c>
      <c r="I47" s="3">
        <f t="shared" si="12"/>
        <v>870.93367378018229</v>
      </c>
      <c r="J47" s="3">
        <v>0</v>
      </c>
      <c r="K47" s="3">
        <f t="shared" si="13"/>
        <v>86674.215607116857</v>
      </c>
    </row>
    <row r="48" spans="2:11" x14ac:dyDescent="0.3">
      <c r="B48" s="2">
        <v>46825</v>
      </c>
      <c r="C48" s="3">
        <f t="shared" si="14"/>
        <v>86674.215607116857</v>
      </c>
      <c r="D48" s="3">
        <v>30.416699999999999</v>
      </c>
      <c r="E48" s="3">
        <f t="shared" si="9"/>
        <v>866.74310592558606</v>
      </c>
      <c r="F48" s="3">
        <v>0</v>
      </c>
      <c r="G48" s="3">
        <f t="shared" si="10"/>
        <v>1289.99</v>
      </c>
      <c r="H48" s="3">
        <f t="shared" si="11"/>
        <v>423.24689407441394</v>
      </c>
      <c r="I48" s="3">
        <f t="shared" si="12"/>
        <v>866.74310592558606</v>
      </c>
      <c r="J48" s="3">
        <v>0</v>
      </c>
      <c r="K48" s="3">
        <f t="shared" si="13"/>
        <v>86250.968713042443</v>
      </c>
    </row>
    <row r="49" spans="2:11" x14ac:dyDescent="0.3">
      <c r="B49" s="2">
        <v>46856</v>
      </c>
      <c r="C49" s="3">
        <f t="shared" si="14"/>
        <v>86250.968713042443</v>
      </c>
      <c r="D49" s="3">
        <v>30.416699999999999</v>
      </c>
      <c r="E49" s="3">
        <f t="shared" si="9"/>
        <v>862.51063234651974</v>
      </c>
      <c r="F49" s="3">
        <v>0</v>
      </c>
      <c r="G49" s="3">
        <f t="shared" si="10"/>
        <v>1289.99</v>
      </c>
      <c r="H49" s="3">
        <f t="shared" si="11"/>
        <v>427.47936765348027</v>
      </c>
      <c r="I49" s="3">
        <f t="shared" si="12"/>
        <v>862.51063234651974</v>
      </c>
      <c r="J49" s="3">
        <v>0</v>
      </c>
      <c r="K49" s="3">
        <f t="shared" si="13"/>
        <v>85823.489345388967</v>
      </c>
    </row>
    <row r="50" spans="2:11" x14ac:dyDescent="0.3">
      <c r="B50" s="2">
        <v>46886</v>
      </c>
      <c r="C50" s="3">
        <f t="shared" si="14"/>
        <v>85823.489345388967</v>
      </c>
      <c r="D50" s="3">
        <v>30.416699999999999</v>
      </c>
      <c r="E50" s="3">
        <f t="shared" si="9"/>
        <v>858.23583398527967</v>
      </c>
      <c r="F50" s="3">
        <v>0</v>
      </c>
      <c r="G50" s="3">
        <f t="shared" si="10"/>
        <v>1289.99</v>
      </c>
      <c r="H50" s="3">
        <f t="shared" si="11"/>
        <v>431.75416601472034</v>
      </c>
      <c r="I50" s="3">
        <f t="shared" si="12"/>
        <v>858.23583398527967</v>
      </c>
      <c r="J50" s="3">
        <v>0</v>
      </c>
      <c r="K50" s="3">
        <f t="shared" si="13"/>
        <v>85391.735179374242</v>
      </c>
    </row>
    <row r="51" spans="2:11" x14ac:dyDescent="0.3">
      <c r="B51" s="2">
        <v>46917</v>
      </c>
      <c r="C51" s="3">
        <f t="shared" si="14"/>
        <v>85391.735179374242</v>
      </c>
      <c r="D51" s="3">
        <v>30.416699999999999</v>
      </c>
      <c r="E51" s="3">
        <f t="shared" si="9"/>
        <v>853.91828759357998</v>
      </c>
      <c r="F51" s="3">
        <v>0</v>
      </c>
      <c r="G51" s="3">
        <f t="shared" si="10"/>
        <v>1289.99</v>
      </c>
      <c r="H51" s="3">
        <f t="shared" si="11"/>
        <v>436.07171240642003</v>
      </c>
      <c r="I51" s="3">
        <f t="shared" si="12"/>
        <v>853.91828759357998</v>
      </c>
      <c r="J51" s="3">
        <v>0</v>
      </c>
      <c r="K51" s="3">
        <f t="shared" si="13"/>
        <v>84955.663466967817</v>
      </c>
    </row>
    <row r="52" spans="2:11" x14ac:dyDescent="0.3">
      <c r="B52" s="2">
        <v>46947</v>
      </c>
      <c r="C52" s="3">
        <f t="shared" si="14"/>
        <v>84955.663466967817</v>
      </c>
      <c r="D52" s="3">
        <v>30.416699999999999</v>
      </c>
      <c r="E52" s="3">
        <f t="shared" si="9"/>
        <v>849.55756569064749</v>
      </c>
      <c r="F52" s="3">
        <v>0</v>
      </c>
      <c r="G52" s="3">
        <f t="shared" si="10"/>
        <v>1289.99</v>
      </c>
      <c r="H52" s="3">
        <f t="shared" si="11"/>
        <v>440.43243430935252</v>
      </c>
      <c r="I52" s="3">
        <f t="shared" si="12"/>
        <v>849.55756569064749</v>
      </c>
      <c r="J52" s="3">
        <v>0</v>
      </c>
      <c r="K52" s="3">
        <f t="shared" si="13"/>
        <v>84515.23103265847</v>
      </c>
    </row>
    <row r="53" spans="2:11" x14ac:dyDescent="0.3">
      <c r="B53" s="2">
        <v>46978</v>
      </c>
      <c r="C53" s="3">
        <f t="shared" si="14"/>
        <v>84515.23103265847</v>
      </c>
      <c r="D53" s="3">
        <v>30.416699999999999</v>
      </c>
      <c r="E53" s="3">
        <f t="shared" si="9"/>
        <v>845.15323652089728</v>
      </c>
      <c r="F53" s="3">
        <v>0</v>
      </c>
      <c r="G53" s="3">
        <f t="shared" si="10"/>
        <v>1289.99</v>
      </c>
      <c r="H53" s="3">
        <f t="shared" si="11"/>
        <v>444.83676347910273</v>
      </c>
      <c r="I53" s="3">
        <f t="shared" si="12"/>
        <v>845.15323652089728</v>
      </c>
      <c r="J53" s="3">
        <v>0</v>
      </c>
      <c r="K53" s="3">
        <f t="shared" si="13"/>
        <v>84070.394269179364</v>
      </c>
    </row>
    <row r="54" spans="2:11" x14ac:dyDescent="0.3">
      <c r="B54" s="2">
        <v>47009</v>
      </c>
      <c r="C54" s="3">
        <f t="shared" si="14"/>
        <v>84070.394269179364</v>
      </c>
      <c r="D54" s="3">
        <v>30.416699999999999</v>
      </c>
      <c r="E54" s="3">
        <f t="shared" si="9"/>
        <v>840.70486401118285</v>
      </c>
      <c r="F54" s="3">
        <v>0</v>
      </c>
      <c r="G54" s="3">
        <f t="shared" si="10"/>
        <v>1289.99</v>
      </c>
      <c r="H54" s="3">
        <f t="shared" si="11"/>
        <v>449.28513598881716</v>
      </c>
      <c r="I54" s="3">
        <f t="shared" si="12"/>
        <v>840.70486401118285</v>
      </c>
      <c r="J54" s="3">
        <v>0</v>
      </c>
      <c r="K54" s="3">
        <f t="shared" si="13"/>
        <v>83621.109133190548</v>
      </c>
    </row>
    <row r="55" spans="2:11" x14ac:dyDescent="0.3">
      <c r="B55" s="2">
        <v>47039</v>
      </c>
      <c r="C55" s="3">
        <f t="shared" si="14"/>
        <v>83621.109133190548</v>
      </c>
      <c r="D55" s="3">
        <v>30.416699999999999</v>
      </c>
      <c r="E55" s="3">
        <f t="shared" si="9"/>
        <v>836.21200772762199</v>
      </c>
      <c r="F55" s="3">
        <v>0</v>
      </c>
      <c r="G55" s="3">
        <f t="shared" si="10"/>
        <v>1289.99</v>
      </c>
      <c r="H55" s="3">
        <f t="shared" si="11"/>
        <v>453.77799227237801</v>
      </c>
      <c r="I55" s="3">
        <f t="shared" si="12"/>
        <v>836.21200772762199</v>
      </c>
      <c r="J55" s="3">
        <v>0</v>
      </c>
      <c r="K55" s="3">
        <f t="shared" si="13"/>
        <v>83167.331140918177</v>
      </c>
    </row>
    <row r="56" spans="2:11" x14ac:dyDescent="0.3">
      <c r="B56" s="2">
        <v>47070</v>
      </c>
      <c r="C56" s="3">
        <f t="shared" si="14"/>
        <v>83167.331140918177</v>
      </c>
      <c r="D56" s="3">
        <v>30.416699999999999</v>
      </c>
      <c r="E56" s="3">
        <f t="shared" si="9"/>
        <v>831.67422283198857</v>
      </c>
      <c r="F56" s="3">
        <v>0</v>
      </c>
      <c r="G56" s="3">
        <f t="shared" si="10"/>
        <v>1289.99</v>
      </c>
      <c r="H56" s="3">
        <f t="shared" si="11"/>
        <v>458.31577716801144</v>
      </c>
      <c r="I56" s="3">
        <f t="shared" si="12"/>
        <v>831.67422283198857</v>
      </c>
      <c r="J56" s="3">
        <v>0</v>
      </c>
      <c r="K56" s="3">
        <f t="shared" si="13"/>
        <v>82709.015363750164</v>
      </c>
    </row>
    <row r="57" spans="2:11" x14ac:dyDescent="0.3">
      <c r="B57" s="2">
        <v>47100</v>
      </c>
      <c r="C57" s="3">
        <f t="shared" si="14"/>
        <v>82709.015363750164</v>
      </c>
      <c r="D57" s="3">
        <v>30.416699999999999</v>
      </c>
      <c r="E57" s="3">
        <f t="shared" si="9"/>
        <v>827.09106003766999</v>
      </c>
      <c r="F57" s="3">
        <v>0</v>
      </c>
      <c r="G57" s="3">
        <f t="shared" si="10"/>
        <v>1289.99</v>
      </c>
      <c r="H57" s="3">
        <f t="shared" si="11"/>
        <v>462.89893996233002</v>
      </c>
      <c r="I57" s="3">
        <f t="shared" si="12"/>
        <v>827.09106003766999</v>
      </c>
      <c r="J57" s="3">
        <v>0</v>
      </c>
      <c r="K57" s="3">
        <f t="shared" si="13"/>
        <v>82246.11642378784</v>
      </c>
    </row>
    <row r="58" spans="2:11" x14ac:dyDescent="0.3">
      <c r="B58" s="2">
        <v>47131</v>
      </c>
      <c r="C58" s="3">
        <f t="shared" si="14"/>
        <v>82246.11642378784</v>
      </c>
      <c r="D58" s="3">
        <v>30.416699999999999</v>
      </c>
      <c r="E58" s="3">
        <f t="shared" si="9"/>
        <v>822.46206556518155</v>
      </c>
      <c r="F58" s="3">
        <v>0</v>
      </c>
      <c r="G58" s="3">
        <f t="shared" si="10"/>
        <v>1289.99</v>
      </c>
      <c r="H58" s="3">
        <f t="shared" si="11"/>
        <v>467.52793443481846</v>
      </c>
      <c r="I58" s="3">
        <f t="shared" si="12"/>
        <v>822.46206556518155</v>
      </c>
      <c r="J58" s="3">
        <v>0</v>
      </c>
      <c r="K58" s="3">
        <f t="shared" si="13"/>
        <v>81778.588489353016</v>
      </c>
    </row>
    <row r="59" spans="2:11" x14ac:dyDescent="0.3">
      <c r="B59" s="2">
        <v>47162</v>
      </c>
      <c r="C59" s="3">
        <f t="shared" si="14"/>
        <v>81778.588489353016</v>
      </c>
      <c r="D59" s="3">
        <v>30.416699999999999</v>
      </c>
      <c r="E59" s="3">
        <f t="shared" si="9"/>
        <v>817.78678109723955</v>
      </c>
      <c r="F59" s="3">
        <v>0</v>
      </c>
      <c r="G59" s="3">
        <f t="shared" si="10"/>
        <v>1289.99</v>
      </c>
      <c r="H59" s="3">
        <f t="shared" si="11"/>
        <v>472.20321890276045</v>
      </c>
      <c r="I59" s="3">
        <f t="shared" si="12"/>
        <v>817.78678109723955</v>
      </c>
      <c r="J59" s="3">
        <v>0</v>
      </c>
      <c r="K59" s="3">
        <f t="shared" si="13"/>
        <v>81306.38527045025</v>
      </c>
    </row>
    <row r="60" spans="2:11" x14ac:dyDescent="0.3">
      <c r="B60" s="2">
        <v>47190</v>
      </c>
      <c r="C60" s="3">
        <f t="shared" si="14"/>
        <v>81306.38527045025</v>
      </c>
      <c r="D60" s="3">
        <v>30.416699999999999</v>
      </c>
      <c r="E60" s="3">
        <f t="shared" si="9"/>
        <v>813.06474373338199</v>
      </c>
      <c r="F60" s="3">
        <v>0</v>
      </c>
      <c r="G60" s="3">
        <f t="shared" si="10"/>
        <v>1289.99</v>
      </c>
      <c r="H60" s="3">
        <f t="shared" si="11"/>
        <v>476.92525626661802</v>
      </c>
      <c r="I60" s="3">
        <f t="shared" si="12"/>
        <v>813.06474373338199</v>
      </c>
      <c r="J60" s="3">
        <v>0</v>
      </c>
      <c r="K60" s="3">
        <f t="shared" si="13"/>
        <v>80829.460014183627</v>
      </c>
    </row>
    <row r="61" spans="2:11" x14ac:dyDescent="0.3">
      <c r="B61" s="2">
        <v>47221</v>
      </c>
      <c r="C61" s="3">
        <f t="shared" si="14"/>
        <v>80829.460014183627</v>
      </c>
      <c r="D61" s="3">
        <v>30.416699999999999</v>
      </c>
      <c r="E61" s="3">
        <f t="shared" si="9"/>
        <v>808.29548594413757</v>
      </c>
      <c r="F61" s="3">
        <v>0</v>
      </c>
      <c r="G61" s="3">
        <f t="shared" si="10"/>
        <v>1289.99</v>
      </c>
      <c r="H61" s="3">
        <f t="shared" si="11"/>
        <v>481.69451405586244</v>
      </c>
      <c r="I61" s="3">
        <f t="shared" si="12"/>
        <v>808.29548594413757</v>
      </c>
      <c r="J61" s="3">
        <v>0</v>
      </c>
      <c r="K61" s="3">
        <f t="shared" si="13"/>
        <v>80347.76550012776</v>
      </c>
    </row>
    <row r="62" spans="2:11" x14ac:dyDescent="0.3">
      <c r="B62" s="2">
        <v>47251</v>
      </c>
      <c r="C62" s="3">
        <f t="shared" si="14"/>
        <v>80347.76550012776</v>
      </c>
      <c r="D62" s="3">
        <v>30.416699999999999</v>
      </c>
      <c r="E62" s="3">
        <f t="shared" si="9"/>
        <v>803.47853552473498</v>
      </c>
      <c r="F62" s="3">
        <v>0</v>
      </c>
      <c r="G62" s="3">
        <f t="shared" si="10"/>
        <v>1289.99</v>
      </c>
      <c r="H62" s="3">
        <f t="shared" si="11"/>
        <v>486.51146447526503</v>
      </c>
      <c r="I62" s="3">
        <f t="shared" si="12"/>
        <v>803.47853552473498</v>
      </c>
      <c r="J62" s="3">
        <v>0</v>
      </c>
      <c r="K62" s="3">
        <f t="shared" si="13"/>
        <v>79861.254035652499</v>
      </c>
    </row>
    <row r="63" spans="2:11" x14ac:dyDescent="0.3">
      <c r="B63" s="2">
        <v>47282</v>
      </c>
      <c r="C63" s="3">
        <f t="shared" si="14"/>
        <v>79861.254035652499</v>
      </c>
      <c r="D63" s="3">
        <v>30.416699999999999</v>
      </c>
      <c r="E63" s="3">
        <f t="shared" si="9"/>
        <v>798.61341554834985</v>
      </c>
      <c r="F63" s="3">
        <v>0</v>
      </c>
      <c r="G63" s="3">
        <f t="shared" si="10"/>
        <v>1289.99</v>
      </c>
      <c r="H63" s="3">
        <f t="shared" si="11"/>
        <v>491.37658445165016</v>
      </c>
      <c r="I63" s="3">
        <f t="shared" si="12"/>
        <v>798.61341554834985</v>
      </c>
      <c r="J63" s="3">
        <v>0</v>
      </c>
      <c r="K63" s="3">
        <f t="shared" si="13"/>
        <v>79369.877451200853</v>
      </c>
    </row>
    <row r="64" spans="2:11" x14ac:dyDescent="0.3">
      <c r="B64" s="2">
        <v>47312</v>
      </c>
      <c r="C64" s="3">
        <f t="shared" si="14"/>
        <v>79369.877451200853</v>
      </c>
      <c r="D64" s="3">
        <v>30.416699999999999</v>
      </c>
      <c r="E64" s="3">
        <f t="shared" si="9"/>
        <v>793.69964431888468</v>
      </c>
      <c r="F64" s="3">
        <v>0</v>
      </c>
      <c r="G64" s="3">
        <f t="shared" si="10"/>
        <v>1289.99</v>
      </c>
      <c r="H64" s="3">
        <f t="shared" si="11"/>
        <v>496.29035568111533</v>
      </c>
      <c r="I64" s="3">
        <f t="shared" si="12"/>
        <v>793.69964431888468</v>
      </c>
      <c r="J64" s="3">
        <v>0</v>
      </c>
      <c r="K64" s="3">
        <f t="shared" si="13"/>
        <v>78873.587095519732</v>
      </c>
    </row>
    <row r="65" spans="2:11" x14ac:dyDescent="0.3">
      <c r="B65" s="2">
        <v>47343</v>
      </c>
      <c r="C65" s="3">
        <f t="shared" si="14"/>
        <v>78873.587095519732</v>
      </c>
      <c r="D65" s="3">
        <v>30.416699999999999</v>
      </c>
      <c r="E65" s="3">
        <f t="shared" si="9"/>
        <v>788.73673532327496</v>
      </c>
      <c r="F65" s="3">
        <v>0</v>
      </c>
      <c r="G65" s="3">
        <f t="shared" si="10"/>
        <v>1289.99</v>
      </c>
      <c r="H65" s="3">
        <f t="shared" si="11"/>
        <v>501.25326467672505</v>
      </c>
      <c r="I65" s="3">
        <f t="shared" si="12"/>
        <v>788.73673532327496</v>
      </c>
      <c r="J65" s="3">
        <v>0</v>
      </c>
      <c r="K65" s="3">
        <f t="shared" si="13"/>
        <v>78372.33383084301</v>
      </c>
    </row>
    <row r="66" spans="2:11" x14ac:dyDescent="0.3">
      <c r="B66" s="2">
        <v>47374</v>
      </c>
      <c r="C66" s="3">
        <f t="shared" si="14"/>
        <v>78372.33383084301</v>
      </c>
      <c r="D66" s="3">
        <v>30.416699999999999</v>
      </c>
      <c r="E66" s="3">
        <f t="shared" si="9"/>
        <v>783.72419718332139</v>
      </c>
      <c r="F66" s="3">
        <v>0</v>
      </c>
      <c r="G66" s="3">
        <f t="shared" si="10"/>
        <v>1289.99</v>
      </c>
      <c r="H66" s="3">
        <f t="shared" si="11"/>
        <v>506.26580281667862</v>
      </c>
      <c r="I66" s="3">
        <f t="shared" si="12"/>
        <v>783.72419718332139</v>
      </c>
      <c r="J66" s="3">
        <v>0</v>
      </c>
      <c r="K66" s="3">
        <f t="shared" si="13"/>
        <v>77866.068028026333</v>
      </c>
    </row>
    <row r="67" spans="2:11" x14ac:dyDescent="0.3">
      <c r="B67" s="2">
        <v>47404</v>
      </c>
      <c r="C67" s="3">
        <f t="shared" si="14"/>
        <v>77866.068028026333</v>
      </c>
      <c r="D67" s="3">
        <v>30.416699999999999</v>
      </c>
      <c r="E67" s="3">
        <f t="shared" si="9"/>
        <v>778.66153360703618</v>
      </c>
      <c r="F67" s="3">
        <v>0</v>
      </c>
      <c r="G67" s="3">
        <f t="shared" si="10"/>
        <v>1289.99</v>
      </c>
      <c r="H67" s="3">
        <f t="shared" si="11"/>
        <v>511.32846639296383</v>
      </c>
      <c r="I67" s="3">
        <f t="shared" si="12"/>
        <v>778.66153360703618</v>
      </c>
      <c r="J67" s="3">
        <v>0</v>
      </c>
      <c r="K67" s="3">
        <f t="shared" si="13"/>
        <v>77354.739561633367</v>
      </c>
    </row>
    <row r="68" spans="2:11" x14ac:dyDescent="0.3">
      <c r="B68" s="2">
        <v>47435</v>
      </c>
      <c r="C68" s="3">
        <f t="shared" si="14"/>
        <v>77354.739561633367</v>
      </c>
      <c r="D68" s="3">
        <v>30.416699999999999</v>
      </c>
      <c r="E68" s="3">
        <f t="shared" si="9"/>
        <v>773.54824333950694</v>
      </c>
      <c r="F68" s="3">
        <v>0</v>
      </c>
      <c r="G68" s="3">
        <f t="shared" si="10"/>
        <v>1289.99</v>
      </c>
      <c r="H68" s="3">
        <f t="shared" si="11"/>
        <v>516.44175666049307</v>
      </c>
      <c r="I68" s="3">
        <f t="shared" si="12"/>
        <v>773.54824333950694</v>
      </c>
      <c r="J68" s="3">
        <v>0</v>
      </c>
      <c r="K68" s="3">
        <f t="shared" si="13"/>
        <v>76838.29780497287</v>
      </c>
    </row>
    <row r="69" spans="2:11" x14ac:dyDescent="0.3">
      <c r="B69" s="2">
        <v>47465</v>
      </c>
      <c r="C69" s="3">
        <f t="shared" si="14"/>
        <v>76838.29780497287</v>
      </c>
      <c r="D69" s="3">
        <v>30.416699999999999</v>
      </c>
      <c r="E69" s="3">
        <f t="shared" si="9"/>
        <v>768.38382011326621</v>
      </c>
      <c r="F69" s="3">
        <v>0</v>
      </c>
      <c r="G69" s="3">
        <f t="shared" si="10"/>
        <v>1289.99</v>
      </c>
      <c r="H69" s="3">
        <f t="shared" si="11"/>
        <v>521.6061798867338</v>
      </c>
      <c r="I69" s="3">
        <f t="shared" si="12"/>
        <v>768.38382011326621</v>
      </c>
      <c r="J69" s="3">
        <v>0</v>
      </c>
      <c r="K69" s="3">
        <f t="shared" si="13"/>
        <v>76316.69162508614</v>
      </c>
    </row>
    <row r="70" spans="2:11" x14ac:dyDescent="0.3">
      <c r="B70" s="2">
        <v>47496</v>
      </c>
      <c r="C70" s="3">
        <f t="shared" si="14"/>
        <v>76316.69162508614</v>
      </c>
      <c r="D70" s="3">
        <v>30.416699999999999</v>
      </c>
      <c r="E70" s="3">
        <f t="shared" si="9"/>
        <v>763.16775259816677</v>
      </c>
      <c r="F70" s="3">
        <v>0</v>
      </c>
      <c r="G70" s="3">
        <f t="shared" si="10"/>
        <v>1289.99</v>
      </c>
      <c r="H70" s="3">
        <f t="shared" si="11"/>
        <v>526.82224740183324</v>
      </c>
      <c r="I70" s="3">
        <f t="shared" si="12"/>
        <v>763.16775259816677</v>
      </c>
      <c r="J70" s="3">
        <v>0</v>
      </c>
      <c r="K70" s="3">
        <f t="shared" si="13"/>
        <v>75789.869377684299</v>
      </c>
    </row>
    <row r="71" spans="2:11" x14ac:dyDescent="0.3">
      <c r="B71" s="2">
        <v>47527</v>
      </c>
      <c r="C71" s="3">
        <f t="shared" si="14"/>
        <v>75789.869377684299</v>
      </c>
      <c r="D71" s="3">
        <v>30.416699999999999</v>
      </c>
      <c r="E71" s="3">
        <f t="shared" si="9"/>
        <v>757.89952435075395</v>
      </c>
      <c r="F71" s="3">
        <v>0</v>
      </c>
      <c r="G71" s="3">
        <f t="shared" si="10"/>
        <v>1289.99</v>
      </c>
      <c r="H71" s="3">
        <f t="shared" si="11"/>
        <v>532.09047564924606</v>
      </c>
      <c r="I71" s="3">
        <f t="shared" si="12"/>
        <v>757.89952435075395</v>
      </c>
      <c r="J71" s="3">
        <v>0</v>
      </c>
      <c r="K71" s="3">
        <f t="shared" si="13"/>
        <v>75257.778902035046</v>
      </c>
    </row>
    <row r="72" spans="2:11" x14ac:dyDescent="0.3">
      <c r="B72" s="2">
        <v>47555</v>
      </c>
      <c r="C72" s="3">
        <f t="shared" si="14"/>
        <v>75257.778902035046</v>
      </c>
      <c r="D72" s="3">
        <v>30.416699999999999</v>
      </c>
      <c r="E72" s="3">
        <f t="shared" si="9"/>
        <v>752.57861376313292</v>
      </c>
      <c r="F72" s="3">
        <v>0</v>
      </c>
      <c r="G72" s="3">
        <f t="shared" si="10"/>
        <v>1289.99</v>
      </c>
      <c r="H72" s="3">
        <f t="shared" si="11"/>
        <v>537.41138623686709</v>
      </c>
      <c r="I72" s="3">
        <f t="shared" si="12"/>
        <v>752.57861376313292</v>
      </c>
      <c r="J72" s="3">
        <v>0</v>
      </c>
      <c r="K72" s="3">
        <f t="shared" si="13"/>
        <v>74720.367515798178</v>
      </c>
    </row>
    <row r="73" spans="2:11" x14ac:dyDescent="0.3">
      <c r="B73" s="2">
        <v>47586</v>
      </c>
      <c r="C73" s="3">
        <f t="shared" si="14"/>
        <v>74720.367515798178</v>
      </c>
      <c r="D73" s="3">
        <v>30.416699999999999</v>
      </c>
      <c r="E73" s="3">
        <f t="shared" si="9"/>
        <v>747.2044940113243</v>
      </c>
      <c r="F73" s="3">
        <v>0</v>
      </c>
      <c r="G73" s="3">
        <f t="shared" si="10"/>
        <v>1289.99</v>
      </c>
      <c r="H73" s="3">
        <f t="shared" si="11"/>
        <v>542.78550598867571</v>
      </c>
      <c r="I73" s="3">
        <f t="shared" si="12"/>
        <v>747.2044940113243</v>
      </c>
      <c r="J73" s="3">
        <v>0</v>
      </c>
      <c r="K73" s="3">
        <f t="shared" si="13"/>
        <v>74177.582009809499</v>
      </c>
    </row>
    <row r="74" spans="2:11" x14ac:dyDescent="0.3">
      <c r="B74" s="2">
        <v>47616</v>
      </c>
      <c r="C74" s="3">
        <f t="shared" si="14"/>
        <v>74177.582009809499</v>
      </c>
      <c r="D74" s="3">
        <v>30.416699999999999</v>
      </c>
      <c r="E74" s="3">
        <f t="shared" ref="E74:E105" si="15">C74*$C$3*D74/365</f>
        <v>741.77663300310326</v>
      </c>
      <c r="F74" s="3">
        <v>0</v>
      </c>
      <c r="G74" s="3">
        <f t="shared" ref="G74:G105" si="16">$C$5</f>
        <v>1289.99</v>
      </c>
      <c r="H74" s="3">
        <f t="shared" ref="H74:H105" si="17">G74-E74</f>
        <v>548.21336699689675</v>
      </c>
      <c r="I74" s="3">
        <f t="shared" ref="I74:I105" si="18">E74</f>
        <v>741.77663300310326</v>
      </c>
      <c r="J74" s="3">
        <v>0</v>
      </c>
      <c r="K74" s="3">
        <f t="shared" ref="K74:K105" si="19">C74 - H74</f>
        <v>73629.368642812609</v>
      </c>
    </row>
    <row r="75" spans="2:11" x14ac:dyDescent="0.3">
      <c r="B75" s="2">
        <v>47647</v>
      </c>
      <c r="C75" s="3">
        <f t="shared" ref="C75:C106" si="20">K74</f>
        <v>73629.368642812609</v>
      </c>
      <c r="D75" s="3">
        <v>30.416699999999999</v>
      </c>
      <c r="E75" s="3">
        <f t="shared" si="15"/>
        <v>736.29449332531669</v>
      </c>
      <c r="F75" s="3">
        <v>0</v>
      </c>
      <c r="G75" s="3">
        <f t="shared" si="16"/>
        <v>1289.99</v>
      </c>
      <c r="H75" s="3">
        <f t="shared" si="17"/>
        <v>553.69550667468332</v>
      </c>
      <c r="I75" s="3">
        <f t="shared" si="18"/>
        <v>736.29449332531669</v>
      </c>
      <c r="J75" s="3">
        <v>0</v>
      </c>
      <c r="K75" s="3">
        <f t="shared" si="19"/>
        <v>73075.673136137921</v>
      </c>
    </row>
    <row r="76" spans="2:11" x14ac:dyDescent="0.3">
      <c r="B76" s="2">
        <v>47677</v>
      </c>
      <c r="C76" s="3">
        <f t="shared" si="20"/>
        <v>73075.673136137921</v>
      </c>
      <c r="D76" s="3">
        <v>30.416699999999999</v>
      </c>
      <c r="E76" s="3">
        <f t="shared" si="15"/>
        <v>730.75753219067371</v>
      </c>
      <c r="F76" s="3">
        <v>0</v>
      </c>
      <c r="G76" s="3">
        <f t="shared" si="16"/>
        <v>1289.99</v>
      </c>
      <c r="H76" s="3">
        <f t="shared" si="17"/>
        <v>559.23246780932629</v>
      </c>
      <c r="I76" s="3">
        <f t="shared" si="18"/>
        <v>730.75753219067371</v>
      </c>
      <c r="J76" s="3">
        <v>0</v>
      </c>
      <c r="K76" s="3">
        <f t="shared" si="19"/>
        <v>72516.440668328592</v>
      </c>
    </row>
    <row r="77" spans="2:11" x14ac:dyDescent="0.3">
      <c r="B77" s="2">
        <v>47708</v>
      </c>
      <c r="C77" s="3">
        <f t="shared" si="20"/>
        <v>72516.440668328592</v>
      </c>
      <c r="D77" s="3">
        <v>30.416699999999999</v>
      </c>
      <c r="E77" s="3">
        <f t="shared" si="15"/>
        <v>725.16520138400563</v>
      </c>
      <c r="F77" s="3">
        <v>0</v>
      </c>
      <c r="G77" s="3">
        <f t="shared" si="16"/>
        <v>1289.99</v>
      </c>
      <c r="H77" s="3">
        <f t="shared" si="17"/>
        <v>564.82479861599438</v>
      </c>
      <c r="I77" s="3">
        <f t="shared" si="18"/>
        <v>725.16520138400563</v>
      </c>
      <c r="J77" s="3">
        <v>0</v>
      </c>
      <c r="K77" s="3">
        <f t="shared" si="19"/>
        <v>71951.615869712594</v>
      </c>
    </row>
    <row r="78" spans="2:11" x14ac:dyDescent="0.3">
      <c r="B78" s="2">
        <v>47739</v>
      </c>
      <c r="C78" s="3">
        <f t="shared" si="20"/>
        <v>71951.615869712594</v>
      </c>
      <c r="D78" s="3">
        <v>30.416699999999999</v>
      </c>
      <c r="E78" s="3">
        <f t="shared" si="15"/>
        <v>719.51694720798469</v>
      </c>
      <c r="F78" s="3">
        <v>0</v>
      </c>
      <c r="G78" s="3">
        <f t="shared" si="16"/>
        <v>1289.99</v>
      </c>
      <c r="H78" s="3">
        <f t="shared" si="17"/>
        <v>570.47305279201532</v>
      </c>
      <c r="I78" s="3">
        <f t="shared" si="18"/>
        <v>719.51694720798469</v>
      </c>
      <c r="J78" s="3">
        <v>0</v>
      </c>
      <c r="K78" s="3">
        <f t="shared" si="19"/>
        <v>71381.142816920576</v>
      </c>
    </row>
    <row r="79" spans="2:11" x14ac:dyDescent="0.3">
      <c r="B79" s="2">
        <v>47769</v>
      </c>
      <c r="C79" s="3">
        <f t="shared" si="20"/>
        <v>71381.142816920576</v>
      </c>
      <c r="D79" s="3">
        <v>30.416699999999999</v>
      </c>
      <c r="E79" s="3">
        <f t="shared" si="15"/>
        <v>713.81221042830509</v>
      </c>
      <c r="F79" s="3">
        <v>0</v>
      </c>
      <c r="G79" s="3">
        <f t="shared" si="16"/>
        <v>1289.99</v>
      </c>
      <c r="H79" s="3">
        <f t="shared" si="17"/>
        <v>576.17778957169492</v>
      </c>
      <c r="I79" s="3">
        <f t="shared" si="18"/>
        <v>713.81221042830509</v>
      </c>
      <c r="J79" s="3">
        <v>0</v>
      </c>
      <c r="K79" s="3">
        <f t="shared" si="19"/>
        <v>70804.965027348881</v>
      </c>
    </row>
    <row r="80" spans="2:11" x14ac:dyDescent="0.3">
      <c r="B80" s="2">
        <v>47800</v>
      </c>
      <c r="C80" s="3">
        <f t="shared" si="20"/>
        <v>70804.965027348881</v>
      </c>
      <c r="D80" s="3">
        <v>30.416699999999999</v>
      </c>
      <c r="E80" s="3">
        <f t="shared" si="15"/>
        <v>708.05042621831092</v>
      </c>
      <c r="F80" s="3">
        <v>0</v>
      </c>
      <c r="G80" s="3">
        <f t="shared" si="16"/>
        <v>1289.99</v>
      </c>
      <c r="H80" s="3">
        <f t="shared" si="17"/>
        <v>581.93957378168909</v>
      </c>
      <c r="I80" s="3">
        <f t="shared" si="18"/>
        <v>708.05042621831092</v>
      </c>
      <c r="J80" s="3">
        <v>0</v>
      </c>
      <c r="K80" s="3">
        <f t="shared" si="19"/>
        <v>70223.025453567185</v>
      </c>
    </row>
    <row r="81" spans="2:11" x14ac:dyDescent="0.3">
      <c r="B81" s="2">
        <v>47830</v>
      </c>
      <c r="C81" s="3">
        <f t="shared" si="20"/>
        <v>70223.025453567185</v>
      </c>
      <c r="D81" s="3">
        <v>30.416699999999999</v>
      </c>
      <c r="E81" s="3">
        <f t="shared" si="15"/>
        <v>702.23102410307399</v>
      </c>
      <c r="F81" s="3">
        <v>0</v>
      </c>
      <c r="G81" s="3">
        <f t="shared" si="16"/>
        <v>1289.99</v>
      </c>
      <c r="H81" s="3">
        <f t="shared" si="17"/>
        <v>587.75897589692602</v>
      </c>
      <c r="I81" s="3">
        <f t="shared" si="18"/>
        <v>702.23102410307399</v>
      </c>
      <c r="J81" s="3">
        <v>0</v>
      </c>
      <c r="K81" s="3">
        <f t="shared" si="19"/>
        <v>69635.266477670259</v>
      </c>
    </row>
    <row r="82" spans="2:11" x14ac:dyDescent="0.3">
      <c r="B82" s="2">
        <v>47861</v>
      </c>
      <c r="C82" s="3">
        <f t="shared" si="20"/>
        <v>69635.266477670259</v>
      </c>
      <c r="D82" s="3">
        <v>30.416699999999999</v>
      </c>
      <c r="E82" s="3">
        <f t="shared" si="15"/>
        <v>696.35342790291054</v>
      </c>
      <c r="F82" s="3">
        <v>0</v>
      </c>
      <c r="G82" s="3">
        <f t="shared" si="16"/>
        <v>1289.99</v>
      </c>
      <c r="H82" s="3">
        <f t="shared" si="17"/>
        <v>593.63657209708947</v>
      </c>
      <c r="I82" s="3">
        <f t="shared" si="18"/>
        <v>696.35342790291054</v>
      </c>
      <c r="J82" s="3">
        <v>0</v>
      </c>
      <c r="K82" s="3">
        <f t="shared" si="19"/>
        <v>69041.629905573165</v>
      </c>
    </row>
    <row r="83" spans="2:11" x14ac:dyDescent="0.3">
      <c r="B83" s="2">
        <v>47892</v>
      </c>
      <c r="C83" s="3">
        <f t="shared" si="20"/>
        <v>69041.629905573165</v>
      </c>
      <c r="D83" s="3">
        <v>30.416699999999999</v>
      </c>
      <c r="E83" s="3">
        <f t="shared" si="15"/>
        <v>690.41705567633335</v>
      </c>
      <c r="F83" s="3">
        <v>0</v>
      </c>
      <c r="G83" s="3">
        <f t="shared" si="16"/>
        <v>1289.99</v>
      </c>
      <c r="H83" s="3">
        <f t="shared" si="17"/>
        <v>599.57294432366666</v>
      </c>
      <c r="I83" s="3">
        <f t="shared" si="18"/>
        <v>690.41705567633335</v>
      </c>
      <c r="J83" s="3">
        <v>0</v>
      </c>
      <c r="K83" s="3">
        <f t="shared" si="19"/>
        <v>68442.056961249502</v>
      </c>
    </row>
    <row r="84" spans="2:11" x14ac:dyDescent="0.3">
      <c r="B84" s="2">
        <v>47920</v>
      </c>
      <c r="C84" s="3">
        <f t="shared" si="20"/>
        <v>68442.056961249502</v>
      </c>
      <c r="D84" s="3">
        <v>30.416699999999999</v>
      </c>
      <c r="E84" s="3">
        <f t="shared" si="15"/>
        <v>684.42131966243426</v>
      </c>
      <c r="F84" s="3">
        <v>0</v>
      </c>
      <c r="G84" s="3">
        <f t="shared" si="16"/>
        <v>1289.99</v>
      </c>
      <c r="H84" s="3">
        <f t="shared" si="17"/>
        <v>605.56868033756575</v>
      </c>
      <c r="I84" s="3">
        <f t="shared" si="18"/>
        <v>684.42131966243426</v>
      </c>
      <c r="J84" s="3">
        <v>0</v>
      </c>
      <c r="K84" s="3">
        <f t="shared" si="19"/>
        <v>67836.48828091193</v>
      </c>
    </row>
    <row r="85" spans="2:11" x14ac:dyDescent="0.3">
      <c r="B85" s="2">
        <v>47951</v>
      </c>
      <c r="C85" s="3">
        <f t="shared" si="20"/>
        <v>67836.48828091193</v>
      </c>
      <c r="D85" s="3">
        <v>30.416699999999999</v>
      </c>
      <c r="E85" s="3">
        <f t="shared" si="15"/>
        <v>678.36562622268946</v>
      </c>
      <c r="F85" s="3">
        <v>0</v>
      </c>
      <c r="G85" s="3">
        <f t="shared" si="16"/>
        <v>1289.99</v>
      </c>
      <c r="H85" s="3">
        <f t="shared" si="17"/>
        <v>611.62437377731055</v>
      </c>
      <c r="I85" s="3">
        <f t="shared" si="18"/>
        <v>678.36562622268946</v>
      </c>
      <c r="J85" s="3">
        <v>0</v>
      </c>
      <c r="K85" s="3">
        <f t="shared" si="19"/>
        <v>67224.863907134626</v>
      </c>
    </row>
    <row r="86" spans="2:11" x14ac:dyDescent="0.3">
      <c r="B86" s="2">
        <v>47981</v>
      </c>
      <c r="C86" s="3">
        <f t="shared" si="20"/>
        <v>67224.863907134626</v>
      </c>
      <c r="D86" s="3">
        <v>30.416699999999999</v>
      </c>
      <c r="E86" s="3">
        <f t="shared" si="15"/>
        <v>672.24937578218351</v>
      </c>
      <c r="F86" s="3">
        <v>0</v>
      </c>
      <c r="G86" s="3">
        <f t="shared" si="16"/>
        <v>1289.99</v>
      </c>
      <c r="H86" s="3">
        <f t="shared" si="17"/>
        <v>617.7406242178165</v>
      </c>
      <c r="I86" s="3">
        <f t="shared" si="18"/>
        <v>672.24937578218351</v>
      </c>
      <c r="J86" s="3">
        <v>0</v>
      </c>
      <c r="K86" s="3">
        <f t="shared" si="19"/>
        <v>66607.123282916815</v>
      </c>
    </row>
    <row r="87" spans="2:11" x14ac:dyDescent="0.3">
      <c r="B87" s="2">
        <v>48012</v>
      </c>
      <c r="C87" s="3">
        <f t="shared" si="20"/>
        <v>66607.123282916815</v>
      </c>
      <c r="D87" s="3">
        <v>30.416699999999999</v>
      </c>
      <c r="E87" s="3">
        <f t="shared" si="15"/>
        <v>666.07196277024514</v>
      </c>
      <c r="F87" s="3">
        <v>0</v>
      </c>
      <c r="G87" s="3">
        <f t="shared" si="16"/>
        <v>1289.99</v>
      </c>
      <c r="H87" s="3">
        <f t="shared" si="17"/>
        <v>623.91803722975487</v>
      </c>
      <c r="I87" s="3">
        <f t="shared" si="18"/>
        <v>666.07196277024514</v>
      </c>
      <c r="J87" s="3">
        <v>0</v>
      </c>
      <c r="K87" s="3">
        <f t="shared" si="19"/>
        <v>65983.205245687059</v>
      </c>
    </row>
    <row r="88" spans="2:11" x14ac:dyDescent="0.3">
      <c r="B88" s="2">
        <v>48042</v>
      </c>
      <c r="C88" s="3">
        <f t="shared" si="20"/>
        <v>65983.205245687059</v>
      </c>
      <c r="D88" s="3">
        <v>30.416699999999999</v>
      </c>
      <c r="E88" s="3">
        <f t="shared" si="15"/>
        <v>659.83277556048961</v>
      </c>
      <c r="F88" s="3">
        <v>0</v>
      </c>
      <c r="G88" s="3">
        <f t="shared" si="16"/>
        <v>1289.99</v>
      </c>
      <c r="H88" s="3">
        <f t="shared" si="17"/>
        <v>630.1572244395104</v>
      </c>
      <c r="I88" s="3">
        <f t="shared" si="18"/>
        <v>659.83277556048961</v>
      </c>
      <c r="J88" s="3">
        <v>0</v>
      </c>
      <c r="K88" s="3">
        <f t="shared" si="19"/>
        <v>65353.048021247545</v>
      </c>
    </row>
    <row r="89" spans="2:11" x14ac:dyDescent="0.3">
      <c r="B89" s="2">
        <v>48073</v>
      </c>
      <c r="C89" s="3">
        <f t="shared" si="20"/>
        <v>65353.048021247545</v>
      </c>
      <c r="D89" s="3">
        <v>30.416699999999999</v>
      </c>
      <c r="E89" s="3">
        <f t="shared" si="15"/>
        <v>653.53119641026194</v>
      </c>
      <c r="F89" s="3">
        <v>0</v>
      </c>
      <c r="G89" s="3">
        <f t="shared" si="16"/>
        <v>1289.99</v>
      </c>
      <c r="H89" s="3">
        <f t="shared" si="17"/>
        <v>636.45880358973807</v>
      </c>
      <c r="I89" s="3">
        <f t="shared" si="18"/>
        <v>653.53119641026194</v>
      </c>
      <c r="J89" s="3">
        <v>0</v>
      </c>
      <c r="K89" s="3">
        <f t="shared" si="19"/>
        <v>64716.589217657805</v>
      </c>
    </row>
    <row r="90" spans="2:11" x14ac:dyDescent="0.3">
      <c r="B90" s="2">
        <v>48104</v>
      </c>
      <c r="C90" s="3">
        <f t="shared" si="20"/>
        <v>64716.589217657805</v>
      </c>
      <c r="D90" s="3">
        <v>30.416699999999999</v>
      </c>
      <c r="E90" s="3">
        <f t="shared" si="15"/>
        <v>647.16660139947351</v>
      </c>
      <c r="F90" s="3">
        <v>0</v>
      </c>
      <c r="G90" s="3">
        <f t="shared" si="16"/>
        <v>1289.99</v>
      </c>
      <c r="H90" s="3">
        <f t="shared" si="17"/>
        <v>642.8233986005265</v>
      </c>
      <c r="I90" s="3">
        <f t="shared" si="18"/>
        <v>647.16660139947351</v>
      </c>
      <c r="J90" s="3">
        <v>0</v>
      </c>
      <c r="K90" s="3">
        <f t="shared" si="19"/>
        <v>64073.765819057277</v>
      </c>
    </row>
    <row r="91" spans="2:11" x14ac:dyDescent="0.3">
      <c r="B91" s="2">
        <v>48134</v>
      </c>
      <c r="C91" s="3">
        <f t="shared" si="20"/>
        <v>64073.765819057277</v>
      </c>
      <c r="D91" s="3">
        <v>30.416699999999999</v>
      </c>
      <c r="E91" s="3">
        <f t="shared" si="15"/>
        <v>640.73836036882824</v>
      </c>
      <c r="F91" s="3">
        <v>0</v>
      </c>
      <c r="G91" s="3">
        <f t="shared" si="16"/>
        <v>1289.99</v>
      </c>
      <c r="H91" s="3">
        <f t="shared" si="17"/>
        <v>649.25163963117177</v>
      </c>
      <c r="I91" s="3">
        <f t="shared" si="18"/>
        <v>640.73836036882824</v>
      </c>
      <c r="J91" s="3">
        <v>0</v>
      </c>
      <c r="K91" s="3">
        <f t="shared" si="19"/>
        <v>63424.514179426107</v>
      </c>
    </row>
    <row r="92" spans="2:11" x14ac:dyDescent="0.3">
      <c r="B92" s="2">
        <v>48165</v>
      </c>
      <c r="C92" s="3">
        <f t="shared" si="20"/>
        <v>63424.514179426107</v>
      </c>
      <c r="D92" s="3">
        <v>30.416699999999999</v>
      </c>
      <c r="E92" s="3">
        <f t="shared" si="15"/>
        <v>634.24583685743005</v>
      </c>
      <c r="F92" s="3">
        <v>0</v>
      </c>
      <c r="G92" s="3">
        <f t="shared" si="16"/>
        <v>1289.99</v>
      </c>
      <c r="H92" s="3">
        <f t="shared" si="17"/>
        <v>655.74416314256996</v>
      </c>
      <c r="I92" s="3">
        <f t="shared" si="18"/>
        <v>634.24583685743005</v>
      </c>
      <c r="J92" s="3">
        <v>0</v>
      </c>
      <c r="K92" s="3">
        <f t="shared" si="19"/>
        <v>62768.770016283539</v>
      </c>
    </row>
    <row r="93" spans="2:11" x14ac:dyDescent="0.3">
      <c r="B93" s="2">
        <v>48195</v>
      </c>
      <c r="C93" s="3">
        <f t="shared" si="20"/>
        <v>62768.770016283539</v>
      </c>
      <c r="D93" s="3">
        <v>30.416699999999999</v>
      </c>
      <c r="E93" s="3">
        <f t="shared" si="15"/>
        <v>627.68838803976701</v>
      </c>
      <c r="F93" s="3">
        <v>0</v>
      </c>
      <c r="G93" s="3">
        <f t="shared" si="16"/>
        <v>1289.99</v>
      </c>
      <c r="H93" s="3">
        <f t="shared" si="17"/>
        <v>662.301611960233</v>
      </c>
      <c r="I93" s="3">
        <f t="shared" si="18"/>
        <v>627.68838803976701</v>
      </c>
      <c r="J93" s="3">
        <v>0</v>
      </c>
      <c r="K93" s="3">
        <f t="shared" si="19"/>
        <v>62106.468404323306</v>
      </c>
    </row>
    <row r="94" spans="2:11" x14ac:dyDescent="0.3">
      <c r="B94" s="2">
        <v>48226</v>
      </c>
      <c r="C94" s="3">
        <f t="shared" si="20"/>
        <v>62106.468404323306</v>
      </c>
      <c r="D94" s="3">
        <v>30.416699999999999</v>
      </c>
      <c r="E94" s="3">
        <f t="shared" si="15"/>
        <v>621.06536466206489</v>
      </c>
      <c r="F94" s="3">
        <v>0</v>
      </c>
      <c r="G94" s="3">
        <f t="shared" si="16"/>
        <v>1289.99</v>
      </c>
      <c r="H94" s="3">
        <f t="shared" si="17"/>
        <v>668.92463533793511</v>
      </c>
      <c r="I94" s="3">
        <f t="shared" si="18"/>
        <v>621.06536466206489</v>
      </c>
      <c r="J94" s="3">
        <v>0</v>
      </c>
      <c r="K94" s="3">
        <f t="shared" si="19"/>
        <v>61437.543768985372</v>
      </c>
    </row>
    <row r="95" spans="2:11" x14ac:dyDescent="0.3">
      <c r="B95" s="2">
        <v>48257</v>
      </c>
      <c r="C95" s="3">
        <f t="shared" si="20"/>
        <v>61437.543768985372</v>
      </c>
      <c r="D95" s="3">
        <v>30.416699999999999</v>
      </c>
      <c r="E95" s="3">
        <f t="shared" si="15"/>
        <v>614.37611097800459</v>
      </c>
      <c r="F95" s="3">
        <v>0</v>
      </c>
      <c r="G95" s="3">
        <f t="shared" si="16"/>
        <v>1289.99</v>
      </c>
      <c r="H95" s="3">
        <f t="shared" si="17"/>
        <v>675.61388902199542</v>
      </c>
      <c r="I95" s="3">
        <f t="shared" si="18"/>
        <v>614.37611097800459</v>
      </c>
      <c r="J95" s="3">
        <v>0</v>
      </c>
      <c r="K95" s="3">
        <f t="shared" si="19"/>
        <v>60761.929879963376</v>
      </c>
    </row>
    <row r="96" spans="2:11" x14ac:dyDescent="0.3">
      <c r="B96" s="2">
        <v>48286</v>
      </c>
      <c r="C96" s="3">
        <f t="shared" si="20"/>
        <v>60761.929879963376</v>
      </c>
      <c r="D96" s="3">
        <v>30.416699999999999</v>
      </c>
      <c r="E96" s="3">
        <f t="shared" si="15"/>
        <v>607.61996468379675</v>
      </c>
      <c r="F96" s="3">
        <v>0</v>
      </c>
      <c r="G96" s="3">
        <f t="shared" si="16"/>
        <v>1289.99</v>
      </c>
      <c r="H96" s="3">
        <f t="shared" si="17"/>
        <v>682.37003531620326</v>
      </c>
      <c r="I96" s="3">
        <f t="shared" si="18"/>
        <v>607.61996468379675</v>
      </c>
      <c r="J96" s="3">
        <v>0</v>
      </c>
      <c r="K96" s="3">
        <f t="shared" si="19"/>
        <v>60079.55984464717</v>
      </c>
    </row>
    <row r="97" spans="2:11" x14ac:dyDescent="0.3">
      <c r="B97" s="2">
        <v>48317</v>
      </c>
      <c r="C97" s="3">
        <f t="shared" si="20"/>
        <v>60079.55984464717</v>
      </c>
      <c r="D97" s="3">
        <v>30.416699999999999</v>
      </c>
      <c r="E97" s="3">
        <f t="shared" si="15"/>
        <v>600.79625685260692</v>
      </c>
      <c r="F97" s="3">
        <v>0</v>
      </c>
      <c r="G97" s="3">
        <f t="shared" si="16"/>
        <v>1289.99</v>
      </c>
      <c r="H97" s="3">
        <f t="shared" si="17"/>
        <v>689.19374314739309</v>
      </c>
      <c r="I97" s="3">
        <f t="shared" si="18"/>
        <v>600.79625685260692</v>
      </c>
      <c r="J97" s="3">
        <v>0</v>
      </c>
      <c r="K97" s="3">
        <f t="shared" si="19"/>
        <v>59390.366101499778</v>
      </c>
    </row>
    <row r="98" spans="2:11" x14ac:dyDescent="0.3">
      <c r="B98" s="2">
        <v>48347</v>
      </c>
      <c r="C98" s="3">
        <f t="shared" si="20"/>
        <v>59390.366101499778</v>
      </c>
      <c r="D98" s="3">
        <v>30.416699999999999</v>
      </c>
      <c r="E98" s="3">
        <f t="shared" si="15"/>
        <v>593.90431186832484</v>
      </c>
      <c r="F98" s="3">
        <v>0</v>
      </c>
      <c r="G98" s="3">
        <f t="shared" si="16"/>
        <v>1289.99</v>
      </c>
      <c r="H98" s="3">
        <f t="shared" si="17"/>
        <v>696.08568813167517</v>
      </c>
      <c r="I98" s="3">
        <f t="shared" si="18"/>
        <v>593.90431186832484</v>
      </c>
      <c r="J98" s="3">
        <v>0</v>
      </c>
      <c r="K98" s="3">
        <f t="shared" si="19"/>
        <v>58694.280413368106</v>
      </c>
    </row>
    <row r="99" spans="2:11" x14ac:dyDescent="0.3">
      <c r="B99" s="2">
        <v>48378</v>
      </c>
      <c r="C99" s="3">
        <f t="shared" si="20"/>
        <v>58694.280413368106</v>
      </c>
      <c r="D99" s="3">
        <v>30.416699999999999</v>
      </c>
      <c r="E99" s="3">
        <f t="shared" si="15"/>
        <v>586.94344735867185</v>
      </c>
      <c r="F99" s="3">
        <v>0</v>
      </c>
      <c r="G99" s="3">
        <f t="shared" si="16"/>
        <v>1289.99</v>
      </c>
      <c r="H99" s="3">
        <f t="shared" si="17"/>
        <v>703.04655264132816</v>
      </c>
      <c r="I99" s="3">
        <f t="shared" si="18"/>
        <v>586.94344735867185</v>
      </c>
      <c r="J99" s="3">
        <v>0</v>
      </c>
      <c r="K99" s="3">
        <f t="shared" si="19"/>
        <v>57991.233860726774</v>
      </c>
    </row>
    <row r="100" spans="2:11" x14ac:dyDescent="0.3">
      <c r="B100" s="2">
        <v>48408</v>
      </c>
      <c r="C100" s="3">
        <f t="shared" si="20"/>
        <v>57991.233860726774</v>
      </c>
      <c r="D100" s="3">
        <v>30.416699999999999</v>
      </c>
      <c r="E100" s="3">
        <f t="shared" si="15"/>
        <v>579.91297412763879</v>
      </c>
      <c r="F100" s="3">
        <v>0</v>
      </c>
      <c r="G100" s="3">
        <f t="shared" si="16"/>
        <v>1289.99</v>
      </c>
      <c r="H100" s="3">
        <f t="shared" si="17"/>
        <v>710.07702587236122</v>
      </c>
      <c r="I100" s="3">
        <f t="shared" si="18"/>
        <v>579.91297412763879</v>
      </c>
      <c r="J100" s="3">
        <v>0</v>
      </c>
      <c r="K100" s="3">
        <f t="shared" si="19"/>
        <v>57281.15683485441</v>
      </c>
    </row>
    <row r="101" spans="2:11" x14ac:dyDescent="0.3">
      <c r="B101" s="2">
        <v>48439</v>
      </c>
      <c r="C101" s="3">
        <f t="shared" si="20"/>
        <v>57281.15683485441</v>
      </c>
      <c r="D101" s="3">
        <v>30.416699999999999</v>
      </c>
      <c r="E101" s="3">
        <f t="shared" si="15"/>
        <v>572.81219608724905</v>
      </c>
      <c r="F101" s="3">
        <v>0</v>
      </c>
      <c r="G101" s="3">
        <f t="shared" si="16"/>
        <v>1289.99</v>
      </c>
      <c r="H101" s="3">
        <f t="shared" si="17"/>
        <v>717.17780391275096</v>
      </c>
      <c r="I101" s="3">
        <f t="shared" si="18"/>
        <v>572.81219608724905</v>
      </c>
      <c r="J101" s="3">
        <v>0</v>
      </c>
      <c r="K101" s="3">
        <f t="shared" si="19"/>
        <v>56563.979030941657</v>
      </c>
    </row>
    <row r="102" spans="2:11" x14ac:dyDescent="0.3">
      <c r="B102" s="2">
        <v>48470</v>
      </c>
      <c r="C102" s="3">
        <f t="shared" si="20"/>
        <v>56563.979030941657</v>
      </c>
      <c r="D102" s="3">
        <v>30.416699999999999</v>
      </c>
      <c r="E102" s="3">
        <f t="shared" si="15"/>
        <v>565.64041018863884</v>
      </c>
      <c r="F102" s="3">
        <v>0</v>
      </c>
      <c r="G102" s="3">
        <f t="shared" si="16"/>
        <v>1289.99</v>
      </c>
      <c r="H102" s="3">
        <f t="shared" si="17"/>
        <v>724.34958981136117</v>
      </c>
      <c r="I102" s="3">
        <f t="shared" si="18"/>
        <v>565.64041018863884</v>
      </c>
      <c r="J102" s="3">
        <v>0</v>
      </c>
      <c r="K102" s="3">
        <f t="shared" si="19"/>
        <v>55839.629441130295</v>
      </c>
    </row>
    <row r="103" spans="2:11" x14ac:dyDescent="0.3">
      <c r="B103" s="2">
        <v>48500</v>
      </c>
      <c r="C103" s="3">
        <f t="shared" si="20"/>
        <v>55839.629441130295</v>
      </c>
      <c r="D103" s="3">
        <v>30.416699999999999</v>
      </c>
      <c r="E103" s="3">
        <f t="shared" si="15"/>
        <v>558.39690635244744</v>
      </c>
      <c r="F103" s="3">
        <v>0</v>
      </c>
      <c r="G103" s="3">
        <f t="shared" si="16"/>
        <v>1289.99</v>
      </c>
      <c r="H103" s="3">
        <f t="shared" si="17"/>
        <v>731.59309364755256</v>
      </c>
      <c r="I103" s="3">
        <f t="shared" si="18"/>
        <v>558.39690635244744</v>
      </c>
      <c r="J103" s="3">
        <v>0</v>
      </c>
      <c r="K103" s="3">
        <f t="shared" si="19"/>
        <v>55108.036347482739</v>
      </c>
    </row>
    <row r="104" spans="2:11" x14ac:dyDescent="0.3">
      <c r="B104" s="2">
        <v>48531</v>
      </c>
      <c r="C104" s="3">
        <f t="shared" si="20"/>
        <v>55108.036347482739</v>
      </c>
      <c r="D104" s="3">
        <v>30.416699999999999</v>
      </c>
      <c r="E104" s="3">
        <f t="shared" si="15"/>
        <v>551.08096739851328</v>
      </c>
      <c r="F104" s="3">
        <v>0</v>
      </c>
      <c r="G104" s="3">
        <f t="shared" si="16"/>
        <v>1289.99</v>
      </c>
      <c r="H104" s="3">
        <f t="shared" si="17"/>
        <v>738.90903260148673</v>
      </c>
      <c r="I104" s="3">
        <f t="shared" si="18"/>
        <v>551.08096739851328</v>
      </c>
      <c r="J104" s="3">
        <v>0</v>
      </c>
      <c r="K104" s="3">
        <f t="shared" si="19"/>
        <v>54369.127314881254</v>
      </c>
    </row>
    <row r="105" spans="2:11" x14ac:dyDescent="0.3">
      <c r="B105" s="2">
        <v>48561</v>
      </c>
      <c r="C105" s="3">
        <f t="shared" si="20"/>
        <v>54369.127314881254</v>
      </c>
      <c r="D105" s="3">
        <v>30.416699999999999</v>
      </c>
      <c r="E105" s="3">
        <f t="shared" si="15"/>
        <v>543.69186897486532</v>
      </c>
      <c r="F105" s="3">
        <v>0</v>
      </c>
      <c r="G105" s="3">
        <f t="shared" si="16"/>
        <v>1289.99</v>
      </c>
      <c r="H105" s="3">
        <f t="shared" si="17"/>
        <v>746.29813102513469</v>
      </c>
      <c r="I105" s="3">
        <f t="shared" si="18"/>
        <v>543.69186897486532</v>
      </c>
      <c r="J105" s="3">
        <v>0</v>
      </c>
      <c r="K105" s="3">
        <f t="shared" si="19"/>
        <v>53622.82918385612</v>
      </c>
    </row>
    <row r="106" spans="2:11" x14ac:dyDescent="0.3">
      <c r="B106" s="2">
        <v>48592</v>
      </c>
      <c r="C106" s="3">
        <f t="shared" si="20"/>
        <v>53622.82918385612</v>
      </c>
      <c r="D106" s="3">
        <v>30.416699999999999</v>
      </c>
      <c r="E106" s="3">
        <f t="shared" ref="E106:E137" si="21">C106*$C$3*D106/365</f>
        <v>536.2288794860043</v>
      </c>
      <c r="F106" s="3">
        <v>0</v>
      </c>
      <c r="G106" s="3">
        <f t="shared" ref="G106:G137" si="22">$C$5</f>
        <v>1289.99</v>
      </c>
      <c r="H106" s="3">
        <f t="shared" ref="H106:H137" si="23">G106-E106</f>
        <v>753.76112051399571</v>
      </c>
      <c r="I106" s="3">
        <f t="shared" ref="I106:I137" si="24">E106</f>
        <v>536.2288794860043</v>
      </c>
      <c r="J106" s="3">
        <v>0</v>
      </c>
      <c r="K106" s="3">
        <f t="shared" ref="K106:K137" si="25">C106 - H106</f>
        <v>52869.068063342122</v>
      </c>
    </row>
    <row r="107" spans="2:11" x14ac:dyDescent="0.3">
      <c r="B107" s="2">
        <v>48623</v>
      </c>
      <c r="C107" s="3">
        <f t="shared" ref="C107:C138" si="26">K106</f>
        <v>52869.068063342122</v>
      </c>
      <c r="D107" s="3">
        <v>30.416699999999999</v>
      </c>
      <c r="E107" s="3">
        <f t="shared" si="21"/>
        <v>528.69126002046846</v>
      </c>
      <c r="F107" s="3">
        <v>0</v>
      </c>
      <c r="G107" s="3">
        <f t="shared" si="22"/>
        <v>1289.99</v>
      </c>
      <c r="H107" s="3">
        <f t="shared" si="23"/>
        <v>761.29873997953155</v>
      </c>
      <c r="I107" s="3">
        <f t="shared" si="24"/>
        <v>528.69126002046846</v>
      </c>
      <c r="J107" s="3">
        <v>0</v>
      </c>
      <c r="K107" s="3">
        <f t="shared" si="25"/>
        <v>52107.769323362591</v>
      </c>
    </row>
    <row r="108" spans="2:11" x14ac:dyDescent="0.3">
      <c r="B108" s="2">
        <v>48651</v>
      </c>
      <c r="C108" s="3">
        <f t="shared" si="26"/>
        <v>52107.769323362591</v>
      </c>
      <c r="D108" s="3">
        <v>30.416699999999999</v>
      </c>
      <c r="E108" s="3">
        <f t="shared" si="21"/>
        <v>521.07826427767327</v>
      </c>
      <c r="F108" s="3">
        <v>0</v>
      </c>
      <c r="G108" s="3">
        <f t="shared" si="22"/>
        <v>1289.99</v>
      </c>
      <c r="H108" s="3">
        <f t="shared" si="23"/>
        <v>768.91173572232674</v>
      </c>
      <c r="I108" s="3">
        <f t="shared" si="24"/>
        <v>521.07826427767327</v>
      </c>
      <c r="J108" s="3">
        <v>0</v>
      </c>
      <c r="K108" s="3">
        <f t="shared" si="25"/>
        <v>51338.857587640261</v>
      </c>
    </row>
    <row r="109" spans="2:11" x14ac:dyDescent="0.3">
      <c r="B109" s="2">
        <v>48682</v>
      </c>
      <c r="C109" s="3">
        <f t="shared" si="26"/>
        <v>51338.857587640261</v>
      </c>
      <c r="D109" s="3">
        <v>30.416699999999999</v>
      </c>
      <c r="E109" s="3">
        <f t="shared" si="21"/>
        <v>513.38913849402002</v>
      </c>
      <c r="F109" s="3">
        <v>0</v>
      </c>
      <c r="G109" s="3">
        <f t="shared" si="22"/>
        <v>1289.99</v>
      </c>
      <c r="H109" s="3">
        <f t="shared" si="23"/>
        <v>776.60086150597999</v>
      </c>
      <c r="I109" s="3">
        <f t="shared" si="24"/>
        <v>513.38913849402002</v>
      </c>
      <c r="J109" s="3">
        <v>0</v>
      </c>
      <c r="K109" s="3">
        <f t="shared" si="25"/>
        <v>50562.256726134277</v>
      </c>
    </row>
    <row r="110" spans="2:11" x14ac:dyDescent="0.3">
      <c r="B110" s="2">
        <v>48712</v>
      </c>
      <c r="C110" s="3">
        <f t="shared" si="26"/>
        <v>50562.256726134277</v>
      </c>
      <c r="D110" s="3">
        <v>30.416699999999999</v>
      </c>
      <c r="E110" s="3">
        <f t="shared" si="21"/>
        <v>505.62312136826574</v>
      </c>
      <c r="F110" s="3">
        <v>0</v>
      </c>
      <c r="G110" s="3">
        <f t="shared" si="22"/>
        <v>1289.99</v>
      </c>
      <c r="H110" s="3">
        <f t="shared" si="23"/>
        <v>784.36687863173427</v>
      </c>
      <c r="I110" s="3">
        <f t="shared" si="24"/>
        <v>505.62312136826574</v>
      </c>
      <c r="J110" s="3">
        <v>0</v>
      </c>
      <c r="K110" s="3">
        <f t="shared" si="25"/>
        <v>49777.889847502542</v>
      </c>
    </row>
    <row r="111" spans="2:11" x14ac:dyDescent="0.3">
      <c r="B111" s="2">
        <v>48743</v>
      </c>
      <c r="C111" s="3">
        <f t="shared" si="26"/>
        <v>49777.889847502542</v>
      </c>
      <c r="D111" s="3">
        <v>30.416699999999999</v>
      </c>
      <c r="E111" s="3">
        <f t="shared" si="21"/>
        <v>497.77944398614699</v>
      </c>
      <c r="F111" s="3">
        <v>0</v>
      </c>
      <c r="G111" s="3">
        <f t="shared" si="22"/>
        <v>1289.99</v>
      </c>
      <c r="H111" s="3">
        <f t="shared" si="23"/>
        <v>792.21055601385297</v>
      </c>
      <c r="I111" s="3">
        <f t="shared" si="24"/>
        <v>497.77944398614699</v>
      </c>
      <c r="J111" s="3">
        <v>0</v>
      </c>
      <c r="K111" s="3">
        <f t="shared" si="25"/>
        <v>48985.67929148869</v>
      </c>
    </row>
    <row r="112" spans="2:11" x14ac:dyDescent="0.3">
      <c r="B112" s="2">
        <v>48773</v>
      </c>
      <c r="C112" s="3">
        <f t="shared" si="26"/>
        <v>48985.67929148869</v>
      </c>
      <c r="D112" s="3">
        <v>30.416699999999999</v>
      </c>
      <c r="E112" s="3">
        <f t="shared" si="21"/>
        <v>489.85732974424894</v>
      </c>
      <c r="F112" s="3">
        <v>0</v>
      </c>
      <c r="G112" s="3">
        <f t="shared" si="22"/>
        <v>1289.99</v>
      </c>
      <c r="H112" s="3">
        <f t="shared" si="23"/>
        <v>800.13267025575101</v>
      </c>
      <c r="I112" s="3">
        <f t="shared" si="24"/>
        <v>489.85732974424894</v>
      </c>
      <c r="J112" s="3">
        <v>0</v>
      </c>
      <c r="K112" s="3">
        <f t="shared" si="25"/>
        <v>48185.546621232941</v>
      </c>
    </row>
    <row r="113" spans="2:11" x14ac:dyDescent="0.3">
      <c r="B113" s="2">
        <v>48804</v>
      </c>
      <c r="C113" s="3">
        <f t="shared" si="26"/>
        <v>48185.546621232941</v>
      </c>
      <c r="D113" s="3">
        <v>30.416699999999999</v>
      </c>
      <c r="E113" s="3">
        <f t="shared" si="21"/>
        <v>481.85599427311428</v>
      </c>
      <c r="F113" s="3">
        <v>0</v>
      </c>
      <c r="G113" s="3">
        <f t="shared" si="22"/>
        <v>1289.99</v>
      </c>
      <c r="H113" s="3">
        <f t="shared" si="23"/>
        <v>808.13400572688579</v>
      </c>
      <c r="I113" s="3">
        <f t="shared" si="24"/>
        <v>481.85599427311428</v>
      </c>
      <c r="J113" s="3">
        <v>0</v>
      </c>
      <c r="K113" s="3">
        <f t="shared" si="25"/>
        <v>47377.412615506059</v>
      </c>
    </row>
    <row r="114" spans="2:11" x14ac:dyDescent="0.3">
      <c r="B114" s="2">
        <v>48835</v>
      </c>
      <c r="C114" s="3">
        <f t="shared" si="26"/>
        <v>47377.412615506059</v>
      </c>
      <c r="D114" s="3">
        <v>30.416699999999999</v>
      </c>
      <c r="E114" s="3">
        <f t="shared" si="21"/>
        <v>473.77464535958228</v>
      </c>
      <c r="F114" s="3">
        <v>0</v>
      </c>
      <c r="G114" s="3">
        <f t="shared" si="22"/>
        <v>1289.99</v>
      </c>
      <c r="H114" s="3">
        <f t="shared" si="23"/>
        <v>816.21535464041767</v>
      </c>
      <c r="I114" s="3">
        <f t="shared" si="24"/>
        <v>473.77464535958228</v>
      </c>
      <c r="J114" s="3">
        <v>0</v>
      </c>
      <c r="K114" s="3">
        <f t="shared" si="25"/>
        <v>46561.197260865643</v>
      </c>
    </row>
    <row r="115" spans="2:11" x14ac:dyDescent="0.3">
      <c r="B115" s="2">
        <v>48865</v>
      </c>
      <c r="C115" s="3">
        <f t="shared" si="26"/>
        <v>46561.197260865643</v>
      </c>
      <c r="D115" s="3">
        <v>30.416699999999999</v>
      </c>
      <c r="E115" s="3">
        <f t="shared" si="21"/>
        <v>465.6124828683524</v>
      </c>
      <c r="F115" s="3">
        <v>0</v>
      </c>
      <c r="G115" s="3">
        <f t="shared" si="22"/>
        <v>1289.99</v>
      </c>
      <c r="H115" s="3">
        <f t="shared" si="23"/>
        <v>824.37751713164766</v>
      </c>
      <c r="I115" s="3">
        <f t="shared" si="24"/>
        <v>465.6124828683524</v>
      </c>
      <c r="J115" s="3">
        <v>0</v>
      </c>
      <c r="K115" s="3">
        <f t="shared" si="25"/>
        <v>45736.819743733999</v>
      </c>
    </row>
    <row r="116" spans="2:11" x14ac:dyDescent="0.3">
      <c r="B116" s="2">
        <v>48896</v>
      </c>
      <c r="C116" s="3">
        <f t="shared" si="26"/>
        <v>45736.819743733999</v>
      </c>
      <c r="D116" s="3">
        <v>30.416699999999999</v>
      </c>
      <c r="E116" s="3">
        <f t="shared" si="21"/>
        <v>457.3686986627618</v>
      </c>
      <c r="F116" s="3">
        <v>0</v>
      </c>
      <c r="G116" s="3">
        <f t="shared" si="22"/>
        <v>1289.99</v>
      </c>
      <c r="H116" s="3">
        <f t="shared" si="23"/>
        <v>832.62130133723826</v>
      </c>
      <c r="I116" s="3">
        <f t="shared" si="24"/>
        <v>457.3686986627618</v>
      </c>
      <c r="J116" s="3">
        <v>0</v>
      </c>
      <c r="K116" s="3">
        <f t="shared" si="25"/>
        <v>44904.198442396759</v>
      </c>
    </row>
    <row r="117" spans="2:11" x14ac:dyDescent="0.3">
      <c r="B117" s="2">
        <v>48926</v>
      </c>
      <c r="C117" s="3">
        <f t="shared" si="26"/>
        <v>44904.198442396759</v>
      </c>
      <c r="D117" s="3">
        <v>30.416699999999999</v>
      </c>
      <c r="E117" s="3">
        <f t="shared" si="21"/>
        <v>449.04247652477238</v>
      </c>
      <c r="F117" s="3">
        <v>0</v>
      </c>
      <c r="G117" s="3">
        <f t="shared" si="22"/>
        <v>1289.99</v>
      </c>
      <c r="H117" s="3">
        <f t="shared" si="23"/>
        <v>840.94752347522763</v>
      </c>
      <c r="I117" s="3">
        <f t="shared" si="24"/>
        <v>449.04247652477238</v>
      </c>
      <c r="J117" s="3">
        <v>0</v>
      </c>
      <c r="K117" s="3">
        <f t="shared" si="25"/>
        <v>44063.250918921534</v>
      </c>
    </row>
    <row r="118" spans="2:11" x14ac:dyDescent="0.3">
      <c r="B118" s="2">
        <v>48957</v>
      </c>
      <c r="C118" s="3">
        <f t="shared" si="26"/>
        <v>44063.250918921534</v>
      </c>
      <c r="D118" s="3">
        <v>30.416699999999999</v>
      </c>
      <c r="E118" s="3">
        <f t="shared" si="21"/>
        <v>440.6329920741569</v>
      </c>
      <c r="F118" s="3">
        <v>0</v>
      </c>
      <c r="G118" s="3">
        <f t="shared" si="22"/>
        <v>1289.99</v>
      </c>
      <c r="H118" s="3">
        <f t="shared" si="23"/>
        <v>849.35700792584316</v>
      </c>
      <c r="I118" s="3">
        <f t="shared" si="24"/>
        <v>440.6329920741569</v>
      </c>
      <c r="J118" s="3">
        <v>0</v>
      </c>
      <c r="K118" s="3">
        <f t="shared" si="25"/>
        <v>43213.893910995692</v>
      </c>
    </row>
    <row r="119" spans="2:11" x14ac:dyDescent="0.3">
      <c r="B119" s="2">
        <v>48988</v>
      </c>
      <c r="C119" s="3">
        <f t="shared" si="26"/>
        <v>43213.893910995692</v>
      </c>
      <c r="D119" s="3">
        <v>30.416699999999999</v>
      </c>
      <c r="E119" s="3">
        <f t="shared" si="21"/>
        <v>432.13941268687643</v>
      </c>
      <c r="F119" s="3">
        <v>0</v>
      </c>
      <c r="G119" s="3">
        <f t="shared" si="22"/>
        <v>1289.99</v>
      </c>
      <c r="H119" s="3">
        <f t="shared" si="23"/>
        <v>857.85058731312358</v>
      </c>
      <c r="I119" s="3">
        <f t="shared" si="24"/>
        <v>432.13941268687643</v>
      </c>
      <c r="J119" s="3">
        <v>0</v>
      </c>
      <c r="K119" s="3">
        <f t="shared" si="25"/>
        <v>42356.04332368257</v>
      </c>
    </row>
    <row r="120" spans="2:11" x14ac:dyDescent="0.3">
      <c r="B120" s="2">
        <v>49016</v>
      </c>
      <c r="C120" s="3">
        <f t="shared" si="26"/>
        <v>42356.04332368257</v>
      </c>
      <c r="D120" s="3">
        <v>30.416699999999999</v>
      </c>
      <c r="E120" s="3">
        <f t="shared" si="21"/>
        <v>423.56089741264293</v>
      </c>
      <c r="F120" s="3">
        <v>0</v>
      </c>
      <c r="G120" s="3">
        <f t="shared" si="22"/>
        <v>1289.99</v>
      </c>
      <c r="H120" s="3">
        <f t="shared" si="23"/>
        <v>866.42910258735708</v>
      </c>
      <c r="I120" s="3">
        <f t="shared" si="24"/>
        <v>423.56089741264293</v>
      </c>
      <c r="J120" s="3">
        <v>0</v>
      </c>
      <c r="K120" s="3">
        <f t="shared" si="25"/>
        <v>41489.614221095217</v>
      </c>
    </row>
    <row r="121" spans="2:11" x14ac:dyDescent="0.3">
      <c r="B121" s="2">
        <v>49047</v>
      </c>
      <c r="C121" s="3">
        <f t="shared" si="26"/>
        <v>41489.614221095217</v>
      </c>
      <c r="D121" s="3">
        <v>30.416699999999999</v>
      </c>
      <c r="E121" s="3">
        <f t="shared" si="21"/>
        <v>414.89659689165586</v>
      </c>
      <c r="F121" s="3">
        <v>0</v>
      </c>
      <c r="G121" s="3">
        <f t="shared" si="22"/>
        <v>1289.99</v>
      </c>
      <c r="H121" s="3">
        <f t="shared" si="23"/>
        <v>875.09340310834409</v>
      </c>
      <c r="I121" s="3">
        <f t="shared" si="24"/>
        <v>414.89659689165586</v>
      </c>
      <c r="J121" s="3">
        <v>0</v>
      </c>
      <c r="K121" s="3">
        <f t="shared" si="25"/>
        <v>40614.520817986871</v>
      </c>
    </row>
    <row r="122" spans="2:11" x14ac:dyDescent="0.3">
      <c r="B122" s="2">
        <v>49077</v>
      </c>
      <c r="C122" s="3">
        <f t="shared" si="26"/>
        <v>40614.520817986871</v>
      </c>
      <c r="D122" s="3">
        <v>30.416699999999999</v>
      </c>
      <c r="E122" s="3">
        <f t="shared" si="21"/>
        <v>406.14565327050775</v>
      </c>
      <c r="F122" s="3">
        <v>0</v>
      </c>
      <c r="G122" s="3">
        <f t="shared" si="22"/>
        <v>1289.99</v>
      </c>
      <c r="H122" s="3">
        <f t="shared" si="23"/>
        <v>883.84434672949226</v>
      </c>
      <c r="I122" s="3">
        <f t="shared" si="24"/>
        <v>406.14565327050775</v>
      </c>
      <c r="J122" s="3">
        <v>0</v>
      </c>
      <c r="K122" s="3">
        <f t="shared" si="25"/>
        <v>39730.676471257379</v>
      </c>
    </row>
    <row r="123" spans="2:11" x14ac:dyDescent="0.3">
      <c r="B123" s="2">
        <v>49108</v>
      </c>
      <c r="C123" s="3">
        <f t="shared" si="26"/>
        <v>39730.676471257379</v>
      </c>
      <c r="D123" s="3">
        <v>30.416699999999999</v>
      </c>
      <c r="E123" s="3">
        <f t="shared" si="21"/>
        <v>397.30720011724742</v>
      </c>
      <c r="F123" s="3">
        <v>0</v>
      </c>
      <c r="G123" s="3">
        <f t="shared" si="22"/>
        <v>1289.99</v>
      </c>
      <c r="H123" s="3">
        <f t="shared" si="23"/>
        <v>892.68279988275253</v>
      </c>
      <c r="I123" s="3">
        <f t="shared" si="24"/>
        <v>397.30720011724742</v>
      </c>
      <c r="J123" s="3">
        <v>0</v>
      </c>
      <c r="K123" s="3">
        <f t="shared" si="25"/>
        <v>38837.993671374628</v>
      </c>
    </row>
    <row r="124" spans="2:11" x14ac:dyDescent="0.3">
      <c r="B124" s="2">
        <v>49138</v>
      </c>
      <c r="C124" s="3">
        <f t="shared" si="26"/>
        <v>38837.993671374628</v>
      </c>
      <c r="D124" s="3">
        <v>30.416699999999999</v>
      </c>
      <c r="E124" s="3">
        <f t="shared" si="21"/>
        <v>388.38036233559467</v>
      </c>
      <c r="F124" s="3">
        <v>0</v>
      </c>
      <c r="G124" s="3">
        <f t="shared" si="22"/>
        <v>1289.99</v>
      </c>
      <c r="H124" s="3">
        <f t="shared" si="23"/>
        <v>901.60963766440534</v>
      </c>
      <c r="I124" s="3">
        <f t="shared" si="24"/>
        <v>388.38036233559467</v>
      </c>
      <c r="J124" s="3">
        <v>0</v>
      </c>
      <c r="K124" s="3">
        <f t="shared" si="25"/>
        <v>37936.384033710223</v>
      </c>
    </row>
    <row r="125" spans="2:11" x14ac:dyDescent="0.3">
      <c r="B125" s="2">
        <v>49169</v>
      </c>
      <c r="C125" s="3">
        <f t="shared" si="26"/>
        <v>37936.384033710223</v>
      </c>
      <c r="D125" s="3">
        <v>30.416699999999999</v>
      </c>
      <c r="E125" s="3">
        <f t="shared" si="21"/>
        <v>379.36425607829705</v>
      </c>
      <c r="F125" s="3">
        <v>0</v>
      </c>
      <c r="G125" s="3">
        <f t="shared" si="22"/>
        <v>1289.99</v>
      </c>
      <c r="H125" s="3">
        <f t="shared" si="23"/>
        <v>910.62574392170291</v>
      </c>
      <c r="I125" s="3">
        <f t="shared" si="24"/>
        <v>379.36425607829705</v>
      </c>
      <c r="J125" s="3">
        <v>0</v>
      </c>
      <c r="K125" s="3">
        <f t="shared" si="25"/>
        <v>37025.758289788522</v>
      </c>
    </row>
    <row r="126" spans="2:11" x14ac:dyDescent="0.3">
      <c r="B126" s="2">
        <v>49200</v>
      </c>
      <c r="C126" s="3">
        <f t="shared" si="26"/>
        <v>37025.758289788522</v>
      </c>
      <c r="D126" s="3">
        <v>30.416699999999999</v>
      </c>
      <c r="E126" s="3">
        <f t="shared" si="21"/>
        <v>370.25798865961985</v>
      </c>
      <c r="F126" s="3">
        <v>0</v>
      </c>
      <c r="G126" s="3">
        <f t="shared" si="22"/>
        <v>1289.99</v>
      </c>
      <c r="H126" s="3">
        <f t="shared" si="23"/>
        <v>919.73201134038015</v>
      </c>
      <c r="I126" s="3">
        <f t="shared" si="24"/>
        <v>370.25798865961985</v>
      </c>
      <c r="J126" s="3">
        <v>0</v>
      </c>
      <c r="K126" s="3">
        <f t="shared" si="25"/>
        <v>36106.026278448146</v>
      </c>
    </row>
    <row r="127" spans="2:11" x14ac:dyDescent="0.3">
      <c r="B127" s="2">
        <v>49230</v>
      </c>
      <c r="C127" s="3">
        <f t="shared" si="26"/>
        <v>36106.026278448146</v>
      </c>
      <c r="D127" s="3">
        <v>30.416699999999999</v>
      </c>
      <c r="E127" s="3">
        <f t="shared" si="21"/>
        <v>361.06065846696117</v>
      </c>
      <c r="F127" s="3">
        <v>0</v>
      </c>
      <c r="G127" s="3">
        <f t="shared" si="22"/>
        <v>1289.99</v>
      </c>
      <c r="H127" s="3">
        <f t="shared" si="23"/>
        <v>928.92934153303884</v>
      </c>
      <c r="I127" s="3">
        <f t="shared" si="24"/>
        <v>361.06065846696117</v>
      </c>
      <c r="J127" s="3">
        <v>0</v>
      </c>
      <c r="K127" s="3">
        <f t="shared" si="25"/>
        <v>35177.096936915106</v>
      </c>
    </row>
    <row r="128" spans="2:11" x14ac:dyDescent="0.3">
      <c r="B128" s="2">
        <v>49261</v>
      </c>
      <c r="C128" s="3">
        <f t="shared" si="26"/>
        <v>35177.096936915106</v>
      </c>
      <c r="D128" s="3">
        <v>30.416699999999999</v>
      </c>
      <c r="E128" s="3">
        <f t="shared" si="21"/>
        <v>351.77135487158318</v>
      </c>
      <c r="F128" s="3">
        <v>0</v>
      </c>
      <c r="G128" s="3">
        <f t="shared" si="22"/>
        <v>1289.99</v>
      </c>
      <c r="H128" s="3">
        <f t="shared" si="23"/>
        <v>938.21864512841682</v>
      </c>
      <c r="I128" s="3">
        <f t="shared" si="24"/>
        <v>351.77135487158318</v>
      </c>
      <c r="J128" s="3">
        <v>0</v>
      </c>
      <c r="K128" s="3">
        <f t="shared" si="25"/>
        <v>34238.878291786692</v>
      </c>
    </row>
    <row r="129" spans="2:11" x14ac:dyDescent="0.3">
      <c r="B129" s="2">
        <v>49291</v>
      </c>
      <c r="C129" s="3">
        <f t="shared" si="26"/>
        <v>34238.878291786692</v>
      </c>
      <c r="D129" s="3">
        <v>30.416699999999999</v>
      </c>
      <c r="E129" s="3">
        <f t="shared" si="21"/>
        <v>342.38915813845091</v>
      </c>
      <c r="F129" s="3">
        <v>0</v>
      </c>
      <c r="G129" s="3">
        <f t="shared" si="22"/>
        <v>1289.99</v>
      </c>
      <c r="H129" s="3">
        <f t="shared" si="23"/>
        <v>947.60084186154904</v>
      </c>
      <c r="I129" s="3">
        <f t="shared" si="24"/>
        <v>342.38915813845091</v>
      </c>
      <c r="J129" s="3">
        <v>0</v>
      </c>
      <c r="K129" s="3">
        <f t="shared" si="25"/>
        <v>33291.277449925146</v>
      </c>
    </row>
    <row r="130" spans="2:11" x14ac:dyDescent="0.3">
      <c r="B130" s="2">
        <v>49322</v>
      </c>
      <c r="C130" s="3">
        <f t="shared" si="26"/>
        <v>33291.277449925146</v>
      </c>
      <c r="D130" s="3">
        <v>30.416699999999999</v>
      </c>
      <c r="E130" s="3">
        <f t="shared" si="21"/>
        <v>332.91313933516869</v>
      </c>
      <c r="F130" s="3">
        <v>0</v>
      </c>
      <c r="G130" s="3">
        <f t="shared" si="22"/>
        <v>1289.99</v>
      </c>
      <c r="H130" s="3">
        <f t="shared" si="23"/>
        <v>957.07686066483132</v>
      </c>
      <c r="I130" s="3">
        <f t="shared" si="24"/>
        <v>332.91313933516869</v>
      </c>
      <c r="J130" s="3">
        <v>0</v>
      </c>
      <c r="K130" s="3">
        <f t="shared" si="25"/>
        <v>32334.200589260316</v>
      </c>
    </row>
    <row r="131" spans="2:11" x14ac:dyDescent="0.3">
      <c r="B131" s="2">
        <v>49353</v>
      </c>
      <c r="C131" s="3">
        <f t="shared" si="26"/>
        <v>32334.200589260316</v>
      </c>
      <c r="D131" s="3">
        <v>30.416699999999999</v>
      </c>
      <c r="E131" s="3">
        <f t="shared" si="21"/>
        <v>323.34236024000683</v>
      </c>
      <c r="F131" s="3">
        <v>0</v>
      </c>
      <c r="G131" s="3">
        <f t="shared" si="22"/>
        <v>1289.99</v>
      </c>
      <c r="H131" s="3">
        <f t="shared" si="23"/>
        <v>966.64763975999313</v>
      </c>
      <c r="I131" s="3">
        <f t="shared" si="24"/>
        <v>323.34236024000683</v>
      </c>
      <c r="J131" s="3">
        <v>0</v>
      </c>
      <c r="K131" s="3">
        <f t="shared" si="25"/>
        <v>31367.552949500321</v>
      </c>
    </row>
    <row r="132" spans="2:11" x14ac:dyDescent="0.3">
      <c r="B132" s="2">
        <v>49381</v>
      </c>
      <c r="C132" s="3">
        <f t="shared" si="26"/>
        <v>31367.552949500321</v>
      </c>
      <c r="D132" s="3">
        <v>30.416699999999999</v>
      </c>
      <c r="E132" s="3">
        <f t="shared" si="21"/>
        <v>313.67587324900813</v>
      </c>
      <c r="F132" s="3">
        <v>0</v>
      </c>
      <c r="G132" s="3">
        <f t="shared" si="22"/>
        <v>1289.99</v>
      </c>
      <c r="H132" s="3">
        <f t="shared" si="23"/>
        <v>976.31412675099182</v>
      </c>
      <c r="I132" s="3">
        <f t="shared" si="24"/>
        <v>313.67587324900813</v>
      </c>
      <c r="J132" s="3">
        <v>0</v>
      </c>
      <c r="K132" s="3">
        <f t="shared" si="25"/>
        <v>30391.238822749328</v>
      </c>
    </row>
    <row r="133" spans="2:11" x14ac:dyDescent="0.3">
      <c r="B133" s="2">
        <v>49412</v>
      </c>
      <c r="C133" s="3">
        <f t="shared" si="26"/>
        <v>30391.238822749328</v>
      </c>
      <c r="D133" s="3">
        <v>30.416699999999999</v>
      </c>
      <c r="E133" s="3">
        <f t="shared" si="21"/>
        <v>303.91272128216531</v>
      </c>
      <c r="F133" s="3">
        <v>0</v>
      </c>
      <c r="G133" s="3">
        <f t="shared" si="22"/>
        <v>1289.99</v>
      </c>
      <c r="H133" s="3">
        <f t="shared" si="23"/>
        <v>986.0772787178347</v>
      </c>
      <c r="I133" s="3">
        <f t="shared" si="24"/>
        <v>303.91272128216531</v>
      </c>
      <c r="J133" s="3">
        <v>0</v>
      </c>
      <c r="K133" s="3">
        <f t="shared" si="25"/>
        <v>29405.161544031493</v>
      </c>
    </row>
    <row r="134" spans="2:11" x14ac:dyDescent="0.3">
      <c r="B134" s="2">
        <v>49442</v>
      </c>
      <c r="C134" s="3">
        <f t="shared" si="26"/>
        <v>29405.161544031493</v>
      </c>
      <c r="D134" s="3">
        <v>30.416699999999999</v>
      </c>
      <c r="E134" s="3">
        <f t="shared" si="21"/>
        <v>294.05193768866059</v>
      </c>
      <c r="F134" s="3">
        <v>0</v>
      </c>
      <c r="G134" s="3">
        <f t="shared" si="22"/>
        <v>1289.99</v>
      </c>
      <c r="H134" s="3">
        <f t="shared" si="23"/>
        <v>995.93806231133942</v>
      </c>
      <c r="I134" s="3">
        <f t="shared" si="24"/>
        <v>294.05193768866059</v>
      </c>
      <c r="J134" s="3">
        <v>0</v>
      </c>
      <c r="K134" s="3">
        <f t="shared" si="25"/>
        <v>28409.223481720153</v>
      </c>
    </row>
    <row r="135" spans="2:11" x14ac:dyDescent="0.3">
      <c r="B135" s="2">
        <v>49473</v>
      </c>
      <c r="C135" s="3">
        <f t="shared" si="26"/>
        <v>28409.223481720153</v>
      </c>
      <c r="D135" s="3">
        <v>30.416699999999999</v>
      </c>
      <c r="E135" s="3">
        <f t="shared" si="21"/>
        <v>284.09254615115748</v>
      </c>
      <c r="F135" s="3">
        <v>0</v>
      </c>
      <c r="G135" s="3">
        <f t="shared" si="22"/>
        <v>1289.99</v>
      </c>
      <c r="H135" s="3">
        <f t="shared" si="23"/>
        <v>1005.8974538488426</v>
      </c>
      <c r="I135" s="3">
        <f t="shared" si="24"/>
        <v>284.09254615115748</v>
      </c>
      <c r="J135" s="3">
        <v>0</v>
      </c>
      <c r="K135" s="3">
        <f t="shared" si="25"/>
        <v>27403.32602787131</v>
      </c>
    </row>
    <row r="136" spans="2:11" x14ac:dyDescent="0.3">
      <c r="B136" s="2">
        <v>49503</v>
      </c>
      <c r="C136" s="3">
        <f t="shared" si="26"/>
        <v>27403.32602787131</v>
      </c>
      <c r="D136" s="3">
        <v>30.416699999999999</v>
      </c>
      <c r="E136" s="3">
        <f t="shared" si="21"/>
        <v>274.03356058913533</v>
      </c>
      <c r="F136" s="3">
        <v>0</v>
      </c>
      <c r="G136" s="3">
        <f t="shared" si="22"/>
        <v>1289.99</v>
      </c>
      <c r="H136" s="3">
        <f t="shared" si="23"/>
        <v>1015.9564394108647</v>
      </c>
      <c r="I136" s="3">
        <f t="shared" si="24"/>
        <v>274.03356058913533</v>
      </c>
      <c r="J136" s="3">
        <v>0</v>
      </c>
      <c r="K136" s="3">
        <f t="shared" si="25"/>
        <v>26387.369588460446</v>
      </c>
    </row>
    <row r="137" spans="2:11" x14ac:dyDescent="0.3">
      <c r="B137" s="2">
        <v>49534</v>
      </c>
      <c r="C137" s="3">
        <f t="shared" si="26"/>
        <v>26387.369588460446</v>
      </c>
      <c r="D137" s="3">
        <v>30.416699999999999</v>
      </c>
      <c r="E137" s="3">
        <f t="shared" si="21"/>
        <v>263.87398506125743</v>
      </c>
      <c r="F137" s="3">
        <v>0</v>
      </c>
      <c r="G137" s="3">
        <f t="shared" si="22"/>
        <v>1289.99</v>
      </c>
      <c r="H137" s="3">
        <f t="shared" si="23"/>
        <v>1026.1160149387426</v>
      </c>
      <c r="I137" s="3">
        <f t="shared" si="24"/>
        <v>263.87398506125743</v>
      </c>
      <c r="J137" s="3">
        <v>0</v>
      </c>
      <c r="K137" s="3">
        <f t="shared" si="25"/>
        <v>25361.253573521702</v>
      </c>
    </row>
    <row r="138" spans="2:11" x14ac:dyDescent="0.3">
      <c r="B138" s="2">
        <v>49565</v>
      </c>
      <c r="C138" s="3">
        <f t="shared" si="26"/>
        <v>25361.253573521702</v>
      </c>
      <c r="D138" s="3">
        <v>30.416699999999999</v>
      </c>
      <c r="E138" s="3">
        <f t="shared" ref="E138:E169" si="27">C138*$C$3*D138/365</f>
        <v>253.61281366676297</v>
      </c>
      <c r="F138" s="3">
        <v>0</v>
      </c>
      <c r="G138" s="3">
        <f t="shared" ref="G138:G159" si="28">$C$5</f>
        <v>1289.99</v>
      </c>
      <c r="H138" s="3">
        <f t="shared" ref="H138:H169" si="29">G138-E138</f>
        <v>1036.377186333237</v>
      </c>
      <c r="I138" s="3">
        <f t="shared" ref="I138:I159" si="30">E138</f>
        <v>253.61281366676297</v>
      </c>
      <c r="J138" s="3">
        <v>0</v>
      </c>
      <c r="K138" s="3">
        <f t="shared" ref="K138:K159" si="31">C138 - H138</f>
        <v>24324.876387188466</v>
      </c>
    </row>
    <row r="139" spans="2:11" x14ac:dyDescent="0.3">
      <c r="B139" s="2">
        <v>49595</v>
      </c>
      <c r="C139" s="3">
        <f t="shared" ref="C139:C159" si="32">K138</f>
        <v>24324.876387188466</v>
      </c>
      <c r="D139" s="3">
        <v>30.416699999999999</v>
      </c>
      <c r="E139" s="3">
        <f t="shared" si="27"/>
        <v>243.24903044587245</v>
      </c>
      <c r="F139" s="3">
        <v>0</v>
      </c>
      <c r="G139" s="3">
        <f t="shared" si="28"/>
        <v>1289.99</v>
      </c>
      <c r="H139" s="3">
        <f t="shared" si="29"/>
        <v>1046.7409695541276</v>
      </c>
      <c r="I139" s="3">
        <f t="shared" si="30"/>
        <v>243.24903044587245</v>
      </c>
      <c r="J139" s="3">
        <v>0</v>
      </c>
      <c r="K139" s="3">
        <f t="shared" si="31"/>
        <v>23278.135417634338</v>
      </c>
    </row>
    <row r="140" spans="2:11" x14ac:dyDescent="0.3">
      <c r="B140" s="2">
        <v>49626</v>
      </c>
      <c r="C140" s="3">
        <f t="shared" si="32"/>
        <v>23278.135417634338</v>
      </c>
      <c r="D140" s="3">
        <v>30.416699999999999</v>
      </c>
      <c r="E140" s="3">
        <f t="shared" si="27"/>
        <v>232.78160927919726</v>
      </c>
      <c r="F140" s="3">
        <v>0</v>
      </c>
      <c r="G140" s="3">
        <f t="shared" si="28"/>
        <v>1289.99</v>
      </c>
      <c r="H140" s="3">
        <f t="shared" si="29"/>
        <v>1057.2083907208028</v>
      </c>
      <c r="I140" s="3">
        <f t="shared" si="30"/>
        <v>232.78160927919726</v>
      </c>
      <c r="J140" s="3">
        <v>0</v>
      </c>
      <c r="K140" s="3">
        <f t="shared" si="31"/>
        <v>22220.927026913534</v>
      </c>
    </row>
    <row r="141" spans="2:11" x14ac:dyDescent="0.3">
      <c r="B141" s="2">
        <v>49656</v>
      </c>
      <c r="C141" s="3">
        <f t="shared" si="32"/>
        <v>22220.927026913534</v>
      </c>
      <c r="D141" s="3">
        <v>30.416699999999999</v>
      </c>
      <c r="E141" s="3">
        <f t="shared" si="27"/>
        <v>222.20951378614384</v>
      </c>
      <c r="F141" s="3">
        <v>0</v>
      </c>
      <c r="G141" s="3">
        <f t="shared" si="28"/>
        <v>1289.99</v>
      </c>
      <c r="H141" s="3">
        <f t="shared" si="29"/>
        <v>1067.7804862138562</v>
      </c>
      <c r="I141" s="3">
        <f t="shared" si="30"/>
        <v>222.20951378614384</v>
      </c>
      <c r="J141" s="3">
        <v>0</v>
      </c>
      <c r="K141" s="3">
        <f t="shared" si="31"/>
        <v>21153.146540699679</v>
      </c>
    </row>
    <row r="142" spans="2:11" x14ac:dyDescent="0.3">
      <c r="B142" s="2">
        <v>49687</v>
      </c>
      <c r="C142" s="3">
        <f t="shared" si="32"/>
        <v>21153.146540699679</v>
      </c>
      <c r="D142" s="3">
        <v>30.416699999999999</v>
      </c>
      <c r="E142" s="3">
        <f t="shared" si="27"/>
        <v>211.53169722230132</v>
      </c>
      <c r="F142" s="3">
        <v>0</v>
      </c>
      <c r="G142" s="3">
        <f t="shared" si="28"/>
        <v>1289.99</v>
      </c>
      <c r="H142" s="3">
        <f t="shared" si="29"/>
        <v>1078.4583027776987</v>
      </c>
      <c r="I142" s="3">
        <f t="shared" si="30"/>
        <v>211.53169722230132</v>
      </c>
      <c r="J142" s="3">
        <v>0</v>
      </c>
      <c r="K142" s="3">
        <f t="shared" si="31"/>
        <v>20074.688237921982</v>
      </c>
    </row>
    <row r="143" spans="2:11" x14ac:dyDescent="0.3">
      <c r="B143" s="2">
        <v>49718</v>
      </c>
      <c r="C143" s="3">
        <f t="shared" si="32"/>
        <v>20074.688237921982</v>
      </c>
      <c r="D143" s="3">
        <v>30.416699999999999</v>
      </c>
      <c r="E143" s="3">
        <f t="shared" si="27"/>
        <v>200.74710237580325</v>
      </c>
      <c r="F143" s="3">
        <v>0</v>
      </c>
      <c r="G143" s="3">
        <f t="shared" si="28"/>
        <v>1289.99</v>
      </c>
      <c r="H143" s="3">
        <f t="shared" si="29"/>
        <v>1089.2428976241968</v>
      </c>
      <c r="I143" s="3">
        <f t="shared" si="30"/>
        <v>200.74710237580325</v>
      </c>
      <c r="J143" s="3">
        <v>0</v>
      </c>
      <c r="K143" s="3">
        <f t="shared" si="31"/>
        <v>18985.445340297785</v>
      </c>
    </row>
    <row r="144" spans="2:11" x14ac:dyDescent="0.3">
      <c r="B144" s="2">
        <v>49747</v>
      </c>
      <c r="C144" s="3">
        <f t="shared" si="32"/>
        <v>18985.445340297785</v>
      </c>
      <c r="D144" s="3">
        <v>30.416699999999999</v>
      </c>
      <c r="E144" s="3">
        <f t="shared" si="27"/>
        <v>189.85466146265281</v>
      </c>
      <c r="F144" s="3">
        <v>0</v>
      </c>
      <c r="G144" s="3">
        <f t="shared" si="28"/>
        <v>1289.99</v>
      </c>
      <c r="H144" s="3">
        <f t="shared" si="29"/>
        <v>1100.1353385373473</v>
      </c>
      <c r="I144" s="3">
        <f t="shared" si="30"/>
        <v>189.85466146265281</v>
      </c>
      <c r="J144" s="3">
        <v>0</v>
      </c>
      <c r="K144" s="3">
        <f t="shared" si="31"/>
        <v>17885.310001760437</v>
      </c>
    </row>
    <row r="145" spans="2:11" x14ac:dyDescent="0.3">
      <c r="B145" s="2">
        <v>49778</v>
      </c>
      <c r="C145" s="3">
        <f t="shared" si="32"/>
        <v>17885.310001760437</v>
      </c>
      <c r="D145" s="3">
        <v>30.416699999999999</v>
      </c>
      <c r="E145" s="3">
        <f t="shared" si="27"/>
        <v>178.85329602100165</v>
      </c>
      <c r="F145" s="3">
        <v>0</v>
      </c>
      <c r="G145" s="3">
        <f t="shared" si="28"/>
        <v>1289.99</v>
      </c>
      <c r="H145" s="3">
        <f t="shared" si="29"/>
        <v>1111.1367039789984</v>
      </c>
      <c r="I145" s="3">
        <f t="shared" si="30"/>
        <v>178.85329602100165</v>
      </c>
      <c r="J145" s="3">
        <v>0</v>
      </c>
      <c r="K145" s="3">
        <f t="shared" si="31"/>
        <v>16774.173297781439</v>
      </c>
    </row>
    <row r="146" spans="2:11" x14ac:dyDescent="0.3">
      <c r="B146" s="2">
        <v>49808</v>
      </c>
      <c r="C146" s="3">
        <f t="shared" si="32"/>
        <v>16774.173297781439</v>
      </c>
      <c r="D146" s="3">
        <v>30.416699999999999</v>
      </c>
      <c r="E146" s="3">
        <f t="shared" si="27"/>
        <v>167.74191680437107</v>
      </c>
      <c r="F146" s="3">
        <v>0</v>
      </c>
      <c r="G146" s="3">
        <f t="shared" si="28"/>
        <v>1289.99</v>
      </c>
      <c r="H146" s="3">
        <f t="shared" si="29"/>
        <v>1122.2480831956289</v>
      </c>
      <c r="I146" s="3">
        <f t="shared" si="30"/>
        <v>167.74191680437107</v>
      </c>
      <c r="J146" s="3">
        <v>0</v>
      </c>
      <c r="K146" s="3">
        <f t="shared" si="31"/>
        <v>15651.92521458581</v>
      </c>
    </row>
    <row r="147" spans="2:11" x14ac:dyDescent="0.3">
      <c r="B147" s="2">
        <v>49839</v>
      </c>
      <c r="C147" s="3">
        <f t="shared" si="32"/>
        <v>15651.92521458581</v>
      </c>
      <c r="D147" s="3">
        <v>30.416699999999999</v>
      </c>
      <c r="E147" s="3">
        <f t="shared" si="27"/>
        <v>156.51942367380562</v>
      </c>
      <c r="F147" s="3">
        <v>0</v>
      </c>
      <c r="G147" s="3">
        <f t="shared" si="28"/>
        <v>1289.99</v>
      </c>
      <c r="H147" s="3">
        <f t="shared" si="29"/>
        <v>1133.4705763261943</v>
      </c>
      <c r="I147" s="3">
        <f t="shared" si="30"/>
        <v>156.51942367380562</v>
      </c>
      <c r="J147" s="3">
        <v>0</v>
      </c>
      <c r="K147" s="3">
        <f t="shared" si="31"/>
        <v>14518.454638259616</v>
      </c>
    </row>
    <row r="148" spans="2:11" x14ac:dyDescent="0.3">
      <c r="B148" s="2">
        <v>49869</v>
      </c>
      <c r="C148" s="3">
        <f t="shared" si="32"/>
        <v>14518.454638259616</v>
      </c>
      <c r="D148" s="3">
        <v>30.416699999999999</v>
      </c>
      <c r="E148" s="3">
        <f t="shared" si="27"/>
        <v>145.18470548894837</v>
      </c>
      <c r="F148" s="3">
        <v>0</v>
      </c>
      <c r="G148" s="3">
        <f t="shared" si="28"/>
        <v>1289.99</v>
      </c>
      <c r="H148" s="3">
        <f t="shared" si="29"/>
        <v>1144.8052945110517</v>
      </c>
      <c r="I148" s="3">
        <f t="shared" si="30"/>
        <v>145.18470548894837</v>
      </c>
      <c r="J148" s="3">
        <v>0</v>
      </c>
      <c r="K148" s="3">
        <f t="shared" si="31"/>
        <v>13373.649343748564</v>
      </c>
    </row>
    <row r="149" spans="2:11" x14ac:dyDescent="0.3">
      <c r="B149" s="2">
        <v>49900</v>
      </c>
      <c r="C149" s="3">
        <f t="shared" si="32"/>
        <v>13373.649343748564</v>
      </c>
      <c r="D149" s="3">
        <v>30.416699999999999</v>
      </c>
      <c r="E149" s="3">
        <f t="shared" si="27"/>
        <v>133.73663999802639</v>
      </c>
      <c r="F149" s="3">
        <v>0</v>
      </c>
      <c r="G149" s="3">
        <f t="shared" si="28"/>
        <v>1289.99</v>
      </c>
      <c r="H149" s="3">
        <f t="shared" si="29"/>
        <v>1156.2533600019735</v>
      </c>
      <c r="I149" s="3">
        <f t="shared" si="30"/>
        <v>133.73663999802639</v>
      </c>
      <c r="J149" s="3">
        <v>0</v>
      </c>
      <c r="K149" s="3">
        <f t="shared" si="31"/>
        <v>12217.39598374659</v>
      </c>
    </row>
    <row r="150" spans="2:11" x14ac:dyDescent="0.3">
      <c r="B150" s="2">
        <v>49931</v>
      </c>
      <c r="C150" s="3">
        <f t="shared" si="32"/>
        <v>12217.39598374659</v>
      </c>
      <c r="D150" s="3">
        <v>30.416699999999999</v>
      </c>
      <c r="E150" s="3">
        <f t="shared" si="27"/>
        <v>122.17409372673693</v>
      </c>
      <c r="F150" s="3">
        <v>0</v>
      </c>
      <c r="G150" s="3">
        <f t="shared" si="28"/>
        <v>1289.99</v>
      </c>
      <c r="H150" s="3">
        <f t="shared" si="29"/>
        <v>1167.8159062732632</v>
      </c>
      <c r="I150" s="3">
        <f t="shared" si="30"/>
        <v>122.17409372673693</v>
      </c>
      <c r="J150" s="3">
        <v>0</v>
      </c>
      <c r="K150" s="3">
        <f t="shared" si="31"/>
        <v>11049.580077473327</v>
      </c>
    </row>
    <row r="151" spans="2:11" x14ac:dyDescent="0.3">
      <c r="B151" s="2">
        <v>49961</v>
      </c>
      <c r="C151" s="3">
        <f t="shared" si="32"/>
        <v>11049.580077473327</v>
      </c>
      <c r="D151" s="3">
        <v>30.416699999999999</v>
      </c>
      <c r="E151" s="3">
        <f t="shared" si="27"/>
        <v>110.49592186602179</v>
      </c>
      <c r="F151" s="3">
        <v>0</v>
      </c>
      <c r="G151" s="3">
        <f t="shared" si="28"/>
        <v>1289.99</v>
      </c>
      <c r="H151" s="3">
        <f t="shared" si="29"/>
        <v>1179.4940781339783</v>
      </c>
      <c r="I151" s="3">
        <f t="shared" si="30"/>
        <v>110.49592186602179</v>
      </c>
      <c r="J151" s="3">
        <v>0</v>
      </c>
      <c r="K151" s="3">
        <f t="shared" si="31"/>
        <v>9870.0859993393497</v>
      </c>
    </row>
    <row r="152" spans="2:11" x14ac:dyDescent="0.3">
      <c r="B152" s="2">
        <v>49992</v>
      </c>
      <c r="C152" s="3">
        <f t="shared" si="32"/>
        <v>9870.0859993393497</v>
      </c>
      <c r="D152" s="3">
        <v>30.416699999999999</v>
      </c>
      <c r="E152" s="3">
        <f t="shared" si="27"/>
        <v>98.700968158719505</v>
      </c>
      <c r="F152" s="3">
        <v>0</v>
      </c>
      <c r="G152" s="3">
        <f t="shared" si="28"/>
        <v>1289.99</v>
      </c>
      <c r="H152" s="3">
        <f t="shared" si="29"/>
        <v>1191.2890318412806</v>
      </c>
      <c r="I152" s="3">
        <f t="shared" si="30"/>
        <v>98.700968158719505</v>
      </c>
      <c r="J152" s="3">
        <v>0</v>
      </c>
      <c r="K152" s="3">
        <f t="shared" si="31"/>
        <v>8678.7969674980686</v>
      </c>
    </row>
    <row r="153" spans="2:11" x14ac:dyDescent="0.3">
      <c r="B153" s="2">
        <v>50022</v>
      </c>
      <c r="C153" s="3">
        <f t="shared" si="32"/>
        <v>8678.7969674980686</v>
      </c>
      <c r="D153" s="3">
        <v>30.416699999999999</v>
      </c>
      <c r="E153" s="3">
        <f t="shared" si="27"/>
        <v>86.788064785084444</v>
      </c>
      <c r="F153" s="3">
        <v>0</v>
      </c>
      <c r="G153" s="3">
        <f t="shared" si="28"/>
        <v>1289.99</v>
      </c>
      <c r="H153" s="3">
        <f t="shared" si="29"/>
        <v>1203.2019352149155</v>
      </c>
      <c r="I153" s="3">
        <f t="shared" si="30"/>
        <v>86.788064785084444</v>
      </c>
      <c r="J153" s="3">
        <v>0</v>
      </c>
      <c r="K153" s="3">
        <f t="shared" si="31"/>
        <v>7475.5950322831532</v>
      </c>
    </row>
    <row r="154" spans="2:11" x14ac:dyDescent="0.3">
      <c r="B154" s="2">
        <v>50053</v>
      </c>
      <c r="C154" s="3">
        <f t="shared" si="32"/>
        <v>7475.5950322831532</v>
      </c>
      <c r="D154" s="3">
        <v>30.416699999999999</v>
      </c>
      <c r="E154" s="3">
        <f t="shared" si="27"/>
        <v>74.756032247160647</v>
      </c>
      <c r="F154" s="3">
        <v>0</v>
      </c>
      <c r="G154" s="3">
        <f t="shared" si="28"/>
        <v>1289.99</v>
      </c>
      <c r="H154" s="3">
        <f t="shared" si="29"/>
        <v>1215.2339677528394</v>
      </c>
      <c r="I154" s="3">
        <f t="shared" si="30"/>
        <v>74.756032247160647</v>
      </c>
      <c r="J154" s="3">
        <v>0</v>
      </c>
      <c r="K154" s="3">
        <f t="shared" si="31"/>
        <v>6260.3610645303143</v>
      </c>
    </row>
    <row r="155" spans="2:11" x14ac:dyDescent="0.3">
      <c r="B155" s="2">
        <v>50084</v>
      </c>
      <c r="C155" s="3">
        <f t="shared" si="32"/>
        <v>6260.3610645303143</v>
      </c>
      <c r="D155" s="3">
        <v>30.416699999999999</v>
      </c>
      <c r="E155" s="3">
        <f t="shared" si="27"/>
        <v>62.603679251999729</v>
      </c>
      <c r="F155" s="3">
        <v>0</v>
      </c>
      <c r="G155" s="3">
        <f t="shared" si="28"/>
        <v>1289.99</v>
      </c>
      <c r="H155" s="3">
        <f t="shared" si="29"/>
        <v>1227.3863207480003</v>
      </c>
      <c r="I155" s="3">
        <f t="shared" si="30"/>
        <v>62.603679251999729</v>
      </c>
      <c r="J155" s="3">
        <v>0</v>
      </c>
      <c r="K155" s="3">
        <f t="shared" si="31"/>
        <v>5032.9747437823135</v>
      </c>
    </row>
    <row r="156" spans="2:11" x14ac:dyDescent="0.3">
      <c r="B156" s="2">
        <v>50112</v>
      </c>
      <c r="C156" s="3">
        <f t="shared" si="32"/>
        <v>5032.9747437823135</v>
      </c>
      <c r="D156" s="3">
        <v>30.416699999999999</v>
      </c>
      <c r="E156" s="3">
        <f t="shared" si="27"/>
        <v>50.329802593710724</v>
      </c>
      <c r="F156" s="3">
        <v>0</v>
      </c>
      <c r="G156" s="3">
        <f t="shared" si="28"/>
        <v>1289.99</v>
      </c>
      <c r="H156" s="3">
        <f t="shared" si="29"/>
        <v>1239.6601974062892</v>
      </c>
      <c r="I156" s="3">
        <f t="shared" si="30"/>
        <v>50.329802593710724</v>
      </c>
      <c r="J156" s="3">
        <v>0</v>
      </c>
      <c r="K156" s="3">
        <f t="shared" si="31"/>
        <v>3793.3145463760243</v>
      </c>
    </row>
    <row r="157" spans="2:11" x14ac:dyDescent="0.3">
      <c r="B157" s="2">
        <v>50143</v>
      </c>
      <c r="C157" s="3">
        <f t="shared" si="32"/>
        <v>3793.3145463760243</v>
      </c>
      <c r="D157" s="3">
        <v>30.416699999999999</v>
      </c>
      <c r="E157" s="3">
        <f t="shared" si="27"/>
        <v>37.933187034330608</v>
      </c>
      <c r="F157" s="3">
        <v>0</v>
      </c>
      <c r="G157" s="3">
        <f t="shared" si="28"/>
        <v>1289.99</v>
      </c>
      <c r="H157" s="3">
        <f t="shared" si="29"/>
        <v>1252.0568129656695</v>
      </c>
      <c r="I157" s="3">
        <f t="shared" si="30"/>
        <v>37.933187034330608</v>
      </c>
      <c r="J157" s="3">
        <v>0</v>
      </c>
      <c r="K157" s="3">
        <f t="shared" si="31"/>
        <v>2541.2577334103548</v>
      </c>
    </row>
    <row r="158" spans="2:11" x14ac:dyDescent="0.3">
      <c r="B158" s="2">
        <v>50173</v>
      </c>
      <c r="C158" s="3">
        <f t="shared" si="32"/>
        <v>2541.2577334103548</v>
      </c>
      <c r="D158" s="3">
        <v>30.416699999999999</v>
      </c>
      <c r="E158" s="3">
        <f t="shared" si="27"/>
        <v>25.412605183503363</v>
      </c>
      <c r="F158" s="3">
        <v>0</v>
      </c>
      <c r="G158" s="3">
        <f t="shared" si="28"/>
        <v>1289.99</v>
      </c>
      <c r="H158" s="3">
        <f t="shared" si="29"/>
        <v>1264.5773948164967</v>
      </c>
      <c r="I158" s="3">
        <f t="shared" si="30"/>
        <v>25.412605183503363</v>
      </c>
      <c r="J158" s="3">
        <v>0</v>
      </c>
      <c r="K158" s="3">
        <f t="shared" si="31"/>
        <v>1276.6803385938581</v>
      </c>
    </row>
    <row r="159" spans="2:11" x14ac:dyDescent="0.3">
      <c r="B159" s="2">
        <v>50204</v>
      </c>
      <c r="C159" s="3">
        <f t="shared" si="32"/>
        <v>1276.6803385938581</v>
      </c>
      <c r="D159" s="3">
        <v>30.416699999999999</v>
      </c>
      <c r="E159" s="3">
        <f t="shared" si="27"/>
        <v>12.76681737695599</v>
      </c>
      <c r="F159" s="3">
        <v>0</v>
      </c>
      <c r="G159" s="3">
        <f t="shared" si="28"/>
        <v>1289.99</v>
      </c>
      <c r="H159" s="3">
        <f t="shared" si="29"/>
        <v>1277.2231826230441</v>
      </c>
      <c r="I159" s="3">
        <f t="shared" si="30"/>
        <v>12.76681737695599</v>
      </c>
      <c r="J159" s="3">
        <v>0</v>
      </c>
      <c r="K159" s="3">
        <f t="shared" si="31"/>
        <v>-0.54284402918597152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1A15-5E0C-4041-A12F-2D466C4FE409}">
  <sheetPr codeName="Sheet33"/>
  <dimension ref="B2:S73"/>
  <sheetViews>
    <sheetView workbookViewId="0">
      <selection activeCell="B73" sqref="B10:B73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5" width="10.6640625" bestFit="1" customWidth="1"/>
    <col min="16" max="16" width="9.77734375" bestFit="1" customWidth="1"/>
    <col min="17" max="18" width="9.109375" bestFit="1" customWidth="1"/>
    <col min="19" max="19" width="8.109375" bestFit="1" customWidth="1"/>
  </cols>
  <sheetData>
    <row r="2" spans="2:19" x14ac:dyDescent="0.3">
      <c r="B2" s="2" t="s">
        <v>0</v>
      </c>
      <c r="C2" s="3">
        <v>100000</v>
      </c>
    </row>
    <row r="3" spans="2:19" x14ac:dyDescent="0.3">
      <c r="B3" s="2" t="s">
        <v>1</v>
      </c>
      <c r="C3" s="3">
        <v>0.12</v>
      </c>
    </row>
    <row r="4" spans="2:19" x14ac:dyDescent="0.3">
      <c r="B4" s="2" t="s">
        <v>2</v>
      </c>
      <c r="C4" s="3">
        <v>64</v>
      </c>
    </row>
    <row r="5" spans="2:19" x14ac:dyDescent="0.3">
      <c r="B5" s="2" t="s">
        <v>3</v>
      </c>
      <c r="C5" s="3">
        <v>2123.0100000000002</v>
      </c>
    </row>
    <row r="6" spans="2:19" x14ac:dyDescent="0.3">
      <c r="B6" s="2" t="s">
        <v>4</v>
      </c>
      <c r="C6" s="3" t="s">
        <v>28</v>
      </c>
    </row>
    <row r="9" spans="2:19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  <c r="S9" t="s">
        <v>19</v>
      </c>
    </row>
    <row r="10" spans="2:19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2123.0100000000002</v>
      </c>
      <c r="H10" s="3">
        <f t="shared" ref="H10:H41" si="2">G10-E10</f>
        <v>1123.0100000000002</v>
      </c>
      <c r="I10" s="3">
        <f t="shared" ref="I10:I41" si="3">E10</f>
        <v>1000</v>
      </c>
      <c r="J10" s="3">
        <v>0</v>
      </c>
      <c r="K10" s="3">
        <f t="shared" ref="K10:K41" si="4">C10 - H10</f>
        <v>98876.99</v>
      </c>
      <c r="M10" t="s">
        <v>20</v>
      </c>
      <c r="N10" s="3">
        <f>SUM(G12:G23)</f>
        <v>25476.12000000001</v>
      </c>
      <c r="O10" s="3">
        <f>SUM(G24:G35)</f>
        <v>25476.12000000001</v>
      </c>
      <c r="P10" s="3">
        <f>SUM(G36:G47)</f>
        <v>25476.12000000001</v>
      </c>
      <c r="Q10" s="3">
        <f>SUM(G48:G59)</f>
        <v>25476.12000000001</v>
      </c>
      <c r="R10" s="3">
        <f>SUM(G60:G71)</f>
        <v>25476.12000000001</v>
      </c>
      <c r="S10" s="3">
        <f>SUM(G72:G73)</f>
        <v>4246.0200000000004</v>
      </c>
    </row>
    <row r="11" spans="2:19" x14ac:dyDescent="0.3">
      <c r="B11" s="2">
        <v>45701</v>
      </c>
      <c r="C11" s="3">
        <f t="shared" ref="C11:C42" si="5">K10</f>
        <v>98876.99</v>
      </c>
      <c r="D11" s="3">
        <v>30.416699999999999</v>
      </c>
      <c r="E11" s="3">
        <f t="shared" si="0"/>
        <v>988.77098358345211</v>
      </c>
      <c r="F11" s="3">
        <v>0</v>
      </c>
      <c r="G11" s="3">
        <f t="shared" si="1"/>
        <v>2123.0100000000002</v>
      </c>
      <c r="H11" s="3">
        <f t="shared" si="2"/>
        <v>1134.2390164165481</v>
      </c>
      <c r="I11" s="3">
        <f t="shared" si="3"/>
        <v>988.77098358345211</v>
      </c>
      <c r="J11" s="3">
        <v>0</v>
      </c>
      <c r="K11" s="3">
        <f t="shared" si="4"/>
        <v>97742.75098358345</v>
      </c>
      <c r="M11" t="s">
        <v>21</v>
      </c>
      <c r="N11" s="3">
        <f>SUM(G24:G71)</f>
        <v>101904.47999999995</v>
      </c>
      <c r="O11" s="3">
        <f>SUM(G36:G73)</f>
        <v>80674.38</v>
      </c>
      <c r="P11" s="3">
        <f>SUM(G48:G73)</f>
        <v>55198.260000000038</v>
      </c>
      <c r="Q11" s="3">
        <f>SUM(G60:G73)</f>
        <v>29722.140000000014</v>
      </c>
      <c r="R11" s="3">
        <f>SUM(G72:G73)</f>
        <v>4246.0200000000004</v>
      </c>
    </row>
    <row r="12" spans="2:19" x14ac:dyDescent="0.3">
      <c r="B12" s="2">
        <v>45729</v>
      </c>
      <c r="C12" s="3">
        <f t="shared" si="5"/>
        <v>97742.75098358345</v>
      </c>
      <c r="D12" s="3">
        <v>30.416699999999999</v>
      </c>
      <c r="E12" s="3">
        <f t="shared" si="0"/>
        <v>977.4285809892699</v>
      </c>
      <c r="F12" s="3">
        <v>0</v>
      </c>
      <c r="G12" s="3">
        <f t="shared" si="1"/>
        <v>2123.0100000000002</v>
      </c>
      <c r="H12" s="3">
        <f t="shared" si="2"/>
        <v>1145.5814190107303</v>
      </c>
      <c r="I12" s="3">
        <f t="shared" si="3"/>
        <v>977.4285809892699</v>
      </c>
      <c r="J12" s="3">
        <v>0</v>
      </c>
      <c r="K12" s="3">
        <f t="shared" si="4"/>
        <v>96597.169564572716</v>
      </c>
      <c r="M12" t="s">
        <v>22</v>
      </c>
      <c r="N12" s="3">
        <f>SUM(G72:G73)</f>
        <v>4246.0200000000004</v>
      </c>
    </row>
    <row r="13" spans="2:19" x14ac:dyDescent="0.3">
      <c r="B13" s="2">
        <v>45760</v>
      </c>
      <c r="C13" s="3">
        <f t="shared" si="5"/>
        <v>96597.169564572716</v>
      </c>
      <c r="D13" s="3">
        <v>30.416699999999999</v>
      </c>
      <c r="E13" s="3">
        <f t="shared" si="0"/>
        <v>965.97275424484576</v>
      </c>
      <c r="F13" s="3">
        <v>0</v>
      </c>
      <c r="G13" s="3">
        <f t="shared" si="1"/>
        <v>2123.0100000000002</v>
      </c>
      <c r="H13" s="3">
        <f t="shared" si="2"/>
        <v>1157.0372457551543</v>
      </c>
      <c r="I13" s="3">
        <f t="shared" si="3"/>
        <v>965.97275424484576</v>
      </c>
      <c r="J13" s="3">
        <v>0</v>
      </c>
      <c r="K13" s="3">
        <f t="shared" si="4"/>
        <v>95440.132318817559</v>
      </c>
    </row>
    <row r="14" spans="2:19" x14ac:dyDescent="0.3">
      <c r="B14" s="2">
        <v>45790</v>
      </c>
      <c r="C14" s="3">
        <f t="shared" si="5"/>
        <v>95440.132318817559</v>
      </c>
      <c r="D14" s="3">
        <v>30.416699999999999</v>
      </c>
      <c r="E14" s="3">
        <f t="shared" si="0"/>
        <v>954.40236910743374</v>
      </c>
      <c r="F14" s="3">
        <v>0</v>
      </c>
      <c r="G14" s="3">
        <f t="shared" si="1"/>
        <v>2123.0100000000002</v>
      </c>
      <c r="H14" s="3">
        <f t="shared" si="2"/>
        <v>1168.6076308925665</v>
      </c>
      <c r="I14" s="3">
        <f t="shared" si="3"/>
        <v>954.40236910743374</v>
      </c>
      <c r="J14" s="3">
        <v>0</v>
      </c>
      <c r="K14" s="3">
        <f t="shared" si="4"/>
        <v>94271.52468792499</v>
      </c>
      <c r="M14" t="s">
        <v>23</v>
      </c>
      <c r="N14" s="3">
        <f t="shared" ref="N14:S14" si="6">SUM(N10,N11,N12)</f>
        <v>131626.61999999997</v>
      </c>
      <c r="O14" s="3">
        <f t="shared" si="6"/>
        <v>106150.50000000001</v>
      </c>
      <c r="P14" s="3">
        <f t="shared" si="6"/>
        <v>80674.380000000048</v>
      </c>
      <c r="Q14" s="3">
        <f t="shared" si="6"/>
        <v>55198.260000000024</v>
      </c>
      <c r="R14" s="3">
        <f t="shared" si="6"/>
        <v>29722.14000000001</v>
      </c>
      <c r="S14" s="3">
        <f t="shared" si="6"/>
        <v>4246.0200000000004</v>
      </c>
    </row>
    <row r="15" spans="2:19" x14ac:dyDescent="0.3">
      <c r="B15" s="2">
        <v>45821</v>
      </c>
      <c r="C15" s="3">
        <f t="shared" si="5"/>
        <v>94271.52468792499</v>
      </c>
      <c r="D15" s="3">
        <v>30.416699999999999</v>
      </c>
      <c r="E15" s="3">
        <f t="shared" si="0"/>
        <v>942.71627999184909</v>
      </c>
      <c r="F15" s="3">
        <v>0</v>
      </c>
      <c r="G15" s="3">
        <f t="shared" si="1"/>
        <v>2123.0100000000002</v>
      </c>
      <c r="H15" s="3">
        <f t="shared" si="2"/>
        <v>1180.293720008151</v>
      </c>
      <c r="I15" s="3">
        <f t="shared" si="3"/>
        <v>942.71627999184909</v>
      </c>
      <c r="J15" s="3">
        <v>0</v>
      </c>
      <c r="K15" s="3">
        <f t="shared" si="4"/>
        <v>93091.230967916839</v>
      </c>
    </row>
    <row r="16" spans="2:19" x14ac:dyDescent="0.3">
      <c r="B16" s="2">
        <v>45851</v>
      </c>
      <c r="C16" s="3">
        <f t="shared" si="5"/>
        <v>93091.230967916839</v>
      </c>
      <c r="D16" s="3">
        <v>30.416699999999999</v>
      </c>
      <c r="E16" s="3">
        <f t="shared" si="0"/>
        <v>930.91332985704196</v>
      </c>
      <c r="F16" s="3">
        <v>0</v>
      </c>
      <c r="G16" s="3">
        <f t="shared" si="1"/>
        <v>2123.0100000000002</v>
      </c>
      <c r="H16" s="3">
        <f t="shared" si="2"/>
        <v>1192.0966701429584</v>
      </c>
      <c r="I16" s="3">
        <f t="shared" si="3"/>
        <v>930.91332985704196</v>
      </c>
      <c r="J16" s="3">
        <v>0</v>
      </c>
      <c r="K16" s="3">
        <f t="shared" si="4"/>
        <v>91899.134297773882</v>
      </c>
      <c r="M16" t="s">
        <v>24</v>
      </c>
      <c r="N16" s="3">
        <f>-SUM(E12:E73)</f>
        <v>-33884.168307348729</v>
      </c>
      <c r="O16" s="3">
        <f>-SUM(E24:E73)</f>
        <v>-22936.888991543405</v>
      </c>
      <c r="P16" s="3">
        <f>-SUM(E36:E73)</f>
        <v>-13832.232464936646</v>
      </c>
      <c r="Q16" s="3">
        <f>-SUM(E48:E73)</f>
        <v>-6803.88968863643</v>
      </c>
      <c r="R16" s="3">
        <f>-SUM(E60:E73)</f>
        <v>-2115.1895212214808</v>
      </c>
      <c r="S16" s="3">
        <f>-SUM(E72:E73)</f>
        <v>-62.857550329486315</v>
      </c>
    </row>
    <row r="17" spans="2:19" x14ac:dyDescent="0.3">
      <c r="B17" s="2">
        <v>45882</v>
      </c>
      <c r="C17" s="3">
        <f t="shared" si="5"/>
        <v>91899.134297773882</v>
      </c>
      <c r="D17" s="3">
        <v>30.416699999999999</v>
      </c>
      <c r="E17" s="3">
        <f t="shared" si="0"/>
        <v>918.99235009153927</v>
      </c>
      <c r="F17" s="3">
        <v>0</v>
      </c>
      <c r="G17" s="3">
        <f t="shared" si="1"/>
        <v>2123.0100000000002</v>
      </c>
      <c r="H17" s="3">
        <f t="shared" si="2"/>
        <v>1204.017649908461</v>
      </c>
      <c r="I17" s="3">
        <f t="shared" si="3"/>
        <v>918.99235009153927</v>
      </c>
      <c r="J17" s="3">
        <v>0</v>
      </c>
      <c r="K17" s="3">
        <f t="shared" si="4"/>
        <v>90695.11664786542</v>
      </c>
      <c r="M17" t="s">
        <v>25</v>
      </c>
      <c r="N17" s="3">
        <f t="shared" ref="N17:S17" si="7">SUM(N14,N16)</f>
        <v>97742.45169265123</v>
      </c>
      <c r="O17" s="3">
        <f t="shared" si="7"/>
        <v>83213.611008456617</v>
      </c>
      <c r="P17" s="3">
        <f t="shared" si="7"/>
        <v>66842.147535063399</v>
      </c>
      <c r="Q17" s="3">
        <f t="shared" si="7"/>
        <v>48394.370311363593</v>
      </c>
      <c r="R17" s="3">
        <f t="shared" si="7"/>
        <v>27606.95047877853</v>
      </c>
      <c r="S17" s="3">
        <f t="shared" si="7"/>
        <v>4183.1624496705144</v>
      </c>
    </row>
    <row r="18" spans="2:19" x14ac:dyDescent="0.3">
      <c r="B18" s="2">
        <v>45913</v>
      </c>
      <c r="C18" s="3">
        <f t="shared" si="5"/>
        <v>90695.11664786542</v>
      </c>
      <c r="D18" s="3">
        <v>30.416699999999999</v>
      </c>
      <c r="E18" s="3">
        <f t="shared" si="0"/>
        <v>906.95216039774061</v>
      </c>
      <c r="F18" s="3">
        <v>0</v>
      </c>
      <c r="G18" s="3">
        <f t="shared" si="1"/>
        <v>2123.0100000000002</v>
      </c>
      <c r="H18" s="3">
        <f t="shared" si="2"/>
        <v>1216.0578396022597</v>
      </c>
      <c r="I18" s="3">
        <f t="shared" si="3"/>
        <v>906.95216039774061</v>
      </c>
      <c r="J18" s="3">
        <v>0</v>
      </c>
      <c r="K18" s="3">
        <f t="shared" si="4"/>
        <v>89479.058808263158</v>
      </c>
    </row>
    <row r="19" spans="2:19" x14ac:dyDescent="0.3">
      <c r="B19" s="2">
        <v>45943</v>
      </c>
      <c r="C19" s="3">
        <f t="shared" si="5"/>
        <v>89479.058808263158</v>
      </c>
      <c r="D19" s="3">
        <v>30.416699999999999</v>
      </c>
      <c r="E19" s="3">
        <f t="shared" si="0"/>
        <v>894.79156867505674</v>
      </c>
      <c r="F19" s="3">
        <v>0</v>
      </c>
      <c r="G19" s="3">
        <f t="shared" si="1"/>
        <v>2123.0100000000002</v>
      </c>
      <c r="H19" s="3">
        <f t="shared" si="2"/>
        <v>1228.2184313249436</v>
      </c>
      <c r="I19" s="3">
        <f t="shared" si="3"/>
        <v>894.79156867505674</v>
      </c>
      <c r="J19" s="3">
        <v>0</v>
      </c>
      <c r="K19" s="3">
        <f t="shared" si="4"/>
        <v>88250.840376938213</v>
      </c>
      <c r="M19" t="s">
        <v>20</v>
      </c>
      <c r="N19" s="3">
        <f>SUM(H12:H23)</f>
        <v>14528.840684194667</v>
      </c>
      <c r="O19" s="3">
        <f>SUM(H24:H35)</f>
        <v>16371.463473393247</v>
      </c>
      <c r="P19" s="3">
        <f>SUM(H36:H47)</f>
        <v>18447.777223699788</v>
      </c>
      <c r="Q19" s="3">
        <f>SUM(H48:H59)</f>
        <v>20787.419832585052</v>
      </c>
      <c r="R19" s="3">
        <f>SUM(H60:H71)</f>
        <v>23423.788029108011</v>
      </c>
      <c r="S19" s="3">
        <f>SUM(H72:H73)</f>
        <v>4183.1624496705144</v>
      </c>
    </row>
    <row r="20" spans="2:19" x14ac:dyDescent="0.3">
      <c r="B20" s="2">
        <v>45974</v>
      </c>
      <c r="C20" s="3">
        <f t="shared" si="5"/>
        <v>88250.840376938213</v>
      </c>
      <c r="D20" s="3">
        <v>30.416699999999999</v>
      </c>
      <c r="E20" s="3">
        <f t="shared" si="0"/>
        <v>882.50937090187938</v>
      </c>
      <c r="F20" s="3">
        <v>0</v>
      </c>
      <c r="G20" s="3">
        <f t="shared" si="1"/>
        <v>2123.0100000000002</v>
      </c>
      <c r="H20" s="3">
        <f t="shared" si="2"/>
        <v>1240.500629098121</v>
      </c>
      <c r="I20" s="3">
        <f t="shared" si="3"/>
        <v>882.50937090187938</v>
      </c>
      <c r="J20" s="3">
        <v>0</v>
      </c>
      <c r="K20" s="3">
        <f t="shared" si="4"/>
        <v>87010.339747840088</v>
      </c>
      <c r="M20" t="s">
        <v>21</v>
      </c>
      <c r="N20" s="3">
        <f>SUM(H24:H71)</f>
        <v>79030.448558786127</v>
      </c>
      <c r="O20" s="3">
        <f>SUM(H36:H73)</f>
        <v>66842.147535063355</v>
      </c>
      <c r="P20" s="3">
        <f>SUM(H48:H73)</f>
        <v>48394.370311363564</v>
      </c>
      <c r="Q20" s="3">
        <f>SUM(H60:H73)</f>
        <v>27606.950478778526</v>
      </c>
      <c r="R20" s="3">
        <f>SUM(H72:H73)</f>
        <v>4183.1624496705144</v>
      </c>
    </row>
    <row r="21" spans="2:19" x14ac:dyDescent="0.3">
      <c r="B21" s="2">
        <v>46004</v>
      </c>
      <c r="C21" s="3">
        <f t="shared" si="5"/>
        <v>87010.339747840088</v>
      </c>
      <c r="D21" s="3">
        <v>30.416699999999999</v>
      </c>
      <c r="E21" s="3">
        <f t="shared" si="0"/>
        <v>870.10435101637063</v>
      </c>
      <c r="F21" s="3">
        <v>0</v>
      </c>
      <c r="G21" s="3">
        <f t="shared" si="1"/>
        <v>2123.0100000000002</v>
      </c>
      <c r="H21" s="3">
        <f t="shared" si="2"/>
        <v>1252.9056489836296</v>
      </c>
      <c r="I21" s="3">
        <f t="shared" si="3"/>
        <v>870.10435101637063</v>
      </c>
      <c r="J21" s="3">
        <v>0</v>
      </c>
      <c r="K21" s="3">
        <f t="shared" si="4"/>
        <v>85757.434098856451</v>
      </c>
      <c r="M21" t="s">
        <v>22</v>
      </c>
      <c r="N21" s="3">
        <f>SUM(H72:H73)</f>
        <v>4183.1624496705144</v>
      </c>
    </row>
    <row r="22" spans="2:19" x14ac:dyDescent="0.3">
      <c r="B22" s="2">
        <v>46035</v>
      </c>
      <c r="C22" s="3">
        <f t="shared" si="5"/>
        <v>85757.434098856451</v>
      </c>
      <c r="D22" s="3">
        <v>30.416699999999999</v>
      </c>
      <c r="E22" s="3">
        <f t="shared" si="0"/>
        <v>857.57528079606141</v>
      </c>
      <c r="F22" s="3">
        <v>0</v>
      </c>
      <c r="G22" s="3">
        <f t="shared" si="1"/>
        <v>2123.0100000000002</v>
      </c>
      <c r="H22" s="3">
        <f t="shared" si="2"/>
        <v>1265.4347192039388</v>
      </c>
      <c r="I22" s="3">
        <f t="shared" si="3"/>
        <v>857.57528079606141</v>
      </c>
      <c r="J22" s="3">
        <v>0</v>
      </c>
      <c r="K22" s="3">
        <f t="shared" si="4"/>
        <v>84491.999379652509</v>
      </c>
      <c r="M22" t="s">
        <v>27</v>
      </c>
      <c r="N22" s="3">
        <f t="shared" ref="N22:S22" si="8">SUM(N19,N20,N21)</f>
        <v>97742.451692651317</v>
      </c>
      <c r="O22" s="3">
        <f t="shared" si="8"/>
        <v>83213.611008456603</v>
      </c>
      <c r="P22" s="3">
        <f t="shared" si="8"/>
        <v>66842.147535063355</v>
      </c>
      <c r="Q22" s="3">
        <f t="shared" si="8"/>
        <v>48394.370311363578</v>
      </c>
      <c r="R22" s="3">
        <f t="shared" si="8"/>
        <v>27606.950478778526</v>
      </c>
      <c r="S22" s="3">
        <f t="shared" si="8"/>
        <v>4183.1624496705144</v>
      </c>
    </row>
    <row r="23" spans="2:19" x14ac:dyDescent="0.3">
      <c r="B23" s="2">
        <v>46066</v>
      </c>
      <c r="C23" s="3">
        <f t="shared" si="5"/>
        <v>84491.999379652509</v>
      </c>
      <c r="D23" s="3">
        <v>30.416699999999999</v>
      </c>
      <c r="E23" s="3">
        <f t="shared" si="0"/>
        <v>844.92091973624429</v>
      </c>
      <c r="F23" s="3">
        <v>0</v>
      </c>
      <c r="G23" s="3">
        <f t="shared" si="1"/>
        <v>2123.0100000000002</v>
      </c>
      <c r="H23" s="3">
        <f t="shared" si="2"/>
        <v>1278.0890802637559</v>
      </c>
      <c r="I23" s="3">
        <f t="shared" si="3"/>
        <v>844.92091973624429</v>
      </c>
      <c r="J23" s="3">
        <v>0</v>
      </c>
      <c r="K23" s="3">
        <f t="shared" si="4"/>
        <v>83213.91029938875</v>
      </c>
    </row>
    <row r="24" spans="2:19" x14ac:dyDescent="0.3">
      <c r="B24" s="2">
        <v>46094</v>
      </c>
      <c r="C24" s="3">
        <f t="shared" si="5"/>
        <v>83213.91029938875</v>
      </c>
      <c r="D24" s="3">
        <v>30.416699999999999</v>
      </c>
      <c r="E24" s="3">
        <f t="shared" si="0"/>
        <v>832.1400149271509</v>
      </c>
      <c r="F24" s="3">
        <v>0</v>
      </c>
      <c r="G24" s="3">
        <f t="shared" si="1"/>
        <v>2123.0100000000002</v>
      </c>
      <c r="H24" s="3">
        <f t="shared" si="2"/>
        <v>1290.8699850728494</v>
      </c>
      <c r="I24" s="3">
        <f t="shared" si="3"/>
        <v>832.1400149271509</v>
      </c>
      <c r="J24" s="3">
        <v>0</v>
      </c>
      <c r="K24" s="3">
        <f t="shared" si="4"/>
        <v>81923.040314315906</v>
      </c>
    </row>
    <row r="25" spans="2:19" x14ac:dyDescent="0.3">
      <c r="B25" s="2">
        <v>46125</v>
      </c>
      <c r="C25" s="3">
        <f t="shared" si="5"/>
        <v>81923.040314315906</v>
      </c>
      <c r="D25" s="3">
        <v>30.416699999999999</v>
      </c>
      <c r="E25" s="3">
        <f t="shared" si="0"/>
        <v>819.2313009299022</v>
      </c>
      <c r="F25" s="3">
        <v>0</v>
      </c>
      <c r="G25" s="3">
        <f t="shared" si="1"/>
        <v>2123.0100000000002</v>
      </c>
      <c r="H25" s="3">
        <f t="shared" si="2"/>
        <v>1303.7786990700979</v>
      </c>
      <c r="I25" s="3">
        <f t="shared" si="3"/>
        <v>819.2313009299022</v>
      </c>
      <c r="J25" s="3">
        <v>0</v>
      </c>
      <c r="K25" s="3">
        <f t="shared" si="4"/>
        <v>80619.261615245807</v>
      </c>
    </row>
    <row r="26" spans="2:19" x14ac:dyDescent="0.3">
      <c r="B26" s="2">
        <v>46155</v>
      </c>
      <c r="C26" s="3">
        <f t="shared" si="5"/>
        <v>80619.261615245807</v>
      </c>
      <c r="D26" s="3">
        <v>30.416699999999999</v>
      </c>
      <c r="E26" s="3">
        <f t="shared" si="0"/>
        <v>806.19349965121557</v>
      </c>
      <c r="F26" s="3">
        <v>0</v>
      </c>
      <c r="G26" s="3">
        <f t="shared" si="1"/>
        <v>2123.0100000000002</v>
      </c>
      <c r="H26" s="3">
        <f t="shared" si="2"/>
        <v>1316.8165003487848</v>
      </c>
      <c r="I26" s="3">
        <f t="shared" si="3"/>
        <v>806.19349965121557</v>
      </c>
      <c r="J26" s="3">
        <v>0</v>
      </c>
      <c r="K26" s="3">
        <f t="shared" si="4"/>
        <v>79302.445114897026</v>
      </c>
    </row>
    <row r="27" spans="2:19" x14ac:dyDescent="0.3">
      <c r="B27" s="2">
        <v>46186</v>
      </c>
      <c r="C27" s="3">
        <f t="shared" si="5"/>
        <v>79302.445114897026</v>
      </c>
      <c r="D27" s="3">
        <v>30.416699999999999</v>
      </c>
      <c r="E27" s="3">
        <f t="shared" si="0"/>
        <v>793.02532021686181</v>
      </c>
      <c r="F27" s="3">
        <v>0</v>
      </c>
      <c r="G27" s="3">
        <f t="shared" si="1"/>
        <v>2123.0100000000002</v>
      </c>
      <c r="H27" s="3">
        <f t="shared" si="2"/>
        <v>1329.9846797831383</v>
      </c>
      <c r="I27" s="3">
        <f t="shared" si="3"/>
        <v>793.02532021686181</v>
      </c>
      <c r="J27" s="3">
        <v>0</v>
      </c>
      <c r="K27" s="3">
        <f t="shared" si="4"/>
        <v>77972.460435113884</v>
      </c>
    </row>
    <row r="28" spans="2:19" x14ac:dyDescent="0.3">
      <c r="B28" s="2">
        <v>46216</v>
      </c>
      <c r="C28" s="3">
        <f t="shared" si="5"/>
        <v>77972.460435113884</v>
      </c>
      <c r="D28" s="3">
        <v>30.416699999999999</v>
      </c>
      <c r="E28" s="3">
        <f t="shared" si="0"/>
        <v>779.72545884385579</v>
      </c>
      <c r="F28" s="3">
        <v>0</v>
      </c>
      <c r="G28" s="3">
        <f t="shared" si="1"/>
        <v>2123.0100000000002</v>
      </c>
      <c r="H28" s="3">
        <f t="shared" si="2"/>
        <v>1343.2845411561443</v>
      </c>
      <c r="I28" s="3">
        <f t="shared" si="3"/>
        <v>779.72545884385579</v>
      </c>
      <c r="J28" s="3">
        <v>0</v>
      </c>
      <c r="K28" s="3">
        <f t="shared" si="4"/>
        <v>76629.175893957741</v>
      </c>
    </row>
    <row r="29" spans="2:19" x14ac:dyDescent="0.3">
      <c r="B29" s="2">
        <v>46247</v>
      </c>
      <c r="C29" s="3">
        <f t="shared" si="5"/>
        <v>76629.175893957741</v>
      </c>
      <c r="D29" s="3">
        <v>30.416699999999999</v>
      </c>
      <c r="E29" s="3">
        <f t="shared" si="0"/>
        <v>766.29259871136799</v>
      </c>
      <c r="F29" s="3">
        <v>0</v>
      </c>
      <c r="G29" s="3">
        <f t="shared" si="1"/>
        <v>2123.0100000000002</v>
      </c>
      <c r="H29" s="3">
        <f t="shared" si="2"/>
        <v>1356.7174012886321</v>
      </c>
      <c r="I29" s="3">
        <f t="shared" si="3"/>
        <v>766.29259871136799</v>
      </c>
      <c r="J29" s="3">
        <v>0</v>
      </c>
      <c r="K29" s="3">
        <f t="shared" si="4"/>
        <v>75272.458492669102</v>
      </c>
    </row>
    <row r="30" spans="2:19" x14ac:dyDescent="0.3">
      <c r="B30" s="2">
        <v>46278</v>
      </c>
      <c r="C30" s="3">
        <f t="shared" si="5"/>
        <v>75272.458492669102</v>
      </c>
      <c r="D30" s="3">
        <v>30.416699999999999</v>
      </c>
      <c r="E30" s="3">
        <f t="shared" si="0"/>
        <v>752.72540983034571</v>
      </c>
      <c r="F30" s="3">
        <v>0</v>
      </c>
      <c r="G30" s="3">
        <f t="shared" si="1"/>
        <v>2123.0100000000002</v>
      </c>
      <c r="H30" s="3">
        <f t="shared" si="2"/>
        <v>1370.2845901696546</v>
      </c>
      <c r="I30" s="3">
        <f t="shared" si="3"/>
        <v>752.72540983034571</v>
      </c>
      <c r="J30" s="3">
        <v>0</v>
      </c>
      <c r="K30" s="3">
        <f t="shared" si="4"/>
        <v>73902.173902499446</v>
      </c>
    </row>
    <row r="31" spans="2:19" x14ac:dyDescent="0.3">
      <c r="B31" s="2">
        <v>46308</v>
      </c>
      <c r="C31" s="3">
        <f t="shared" si="5"/>
        <v>73902.173902499446</v>
      </c>
      <c r="D31" s="3">
        <v>30.416699999999999</v>
      </c>
      <c r="E31" s="3">
        <f t="shared" si="0"/>
        <v>739.02254891183168</v>
      </c>
      <c r="F31" s="3">
        <v>0</v>
      </c>
      <c r="G31" s="3">
        <f t="shared" si="1"/>
        <v>2123.0100000000002</v>
      </c>
      <c r="H31" s="3">
        <f t="shared" si="2"/>
        <v>1383.9874510881687</v>
      </c>
      <c r="I31" s="3">
        <f t="shared" si="3"/>
        <v>739.02254891183168</v>
      </c>
      <c r="J31" s="3">
        <v>0</v>
      </c>
      <c r="K31" s="3">
        <f t="shared" si="4"/>
        <v>72518.186451411282</v>
      </c>
    </row>
    <row r="32" spans="2:19" x14ac:dyDescent="0.3">
      <c r="B32" s="2">
        <v>46339</v>
      </c>
      <c r="C32" s="3">
        <f t="shared" si="5"/>
        <v>72518.186451411282</v>
      </c>
      <c r="D32" s="3">
        <v>30.416699999999999</v>
      </c>
      <c r="E32" s="3">
        <f t="shared" si="0"/>
        <v>725.18265923396427</v>
      </c>
      <c r="F32" s="3">
        <v>0</v>
      </c>
      <c r="G32" s="3">
        <f t="shared" si="1"/>
        <v>2123.0100000000002</v>
      </c>
      <c r="H32" s="3">
        <f t="shared" si="2"/>
        <v>1397.8273407660358</v>
      </c>
      <c r="I32" s="3">
        <f t="shared" si="3"/>
        <v>725.18265923396427</v>
      </c>
      <c r="J32" s="3">
        <v>0</v>
      </c>
      <c r="K32" s="3">
        <f t="shared" si="4"/>
        <v>71120.359110645251</v>
      </c>
    </row>
    <row r="33" spans="2:11" x14ac:dyDescent="0.3">
      <c r="B33" s="2">
        <v>46369</v>
      </c>
      <c r="C33" s="3">
        <f t="shared" si="5"/>
        <v>71120.359110645251</v>
      </c>
      <c r="D33" s="3">
        <v>30.416699999999999</v>
      </c>
      <c r="E33" s="3">
        <f t="shared" si="0"/>
        <v>711.20437050764826</v>
      </c>
      <c r="F33" s="3">
        <v>0</v>
      </c>
      <c r="G33" s="3">
        <f t="shared" si="1"/>
        <v>2123.0100000000002</v>
      </c>
      <c r="H33" s="3">
        <f t="shared" si="2"/>
        <v>1411.805629492352</v>
      </c>
      <c r="I33" s="3">
        <f t="shared" si="3"/>
        <v>711.20437050764826</v>
      </c>
      <c r="J33" s="3">
        <v>0</v>
      </c>
      <c r="K33" s="3">
        <f t="shared" si="4"/>
        <v>69708.553481152892</v>
      </c>
    </row>
    <row r="34" spans="2:11" x14ac:dyDescent="0.3">
      <c r="B34" s="2">
        <v>46400</v>
      </c>
      <c r="C34" s="3">
        <f t="shared" si="5"/>
        <v>69708.553481152892</v>
      </c>
      <c r="D34" s="3">
        <v>30.416699999999999</v>
      </c>
      <c r="E34" s="3">
        <f t="shared" si="0"/>
        <v>697.08629874088206</v>
      </c>
      <c r="F34" s="3">
        <v>0</v>
      </c>
      <c r="G34" s="3">
        <f t="shared" si="1"/>
        <v>2123.0100000000002</v>
      </c>
      <c r="H34" s="3">
        <f t="shared" si="2"/>
        <v>1425.9237012591182</v>
      </c>
      <c r="I34" s="3">
        <f t="shared" si="3"/>
        <v>697.08629874088206</v>
      </c>
      <c r="J34" s="3">
        <v>0</v>
      </c>
      <c r="K34" s="3">
        <f t="shared" si="4"/>
        <v>68282.629779893774</v>
      </c>
    </row>
    <row r="35" spans="2:11" x14ac:dyDescent="0.3">
      <c r="B35" s="2">
        <v>46431</v>
      </c>
      <c r="C35" s="3">
        <f t="shared" si="5"/>
        <v>68282.629779893774</v>
      </c>
      <c r="D35" s="3">
        <v>30.416699999999999</v>
      </c>
      <c r="E35" s="3">
        <f t="shared" si="0"/>
        <v>682.82704610172971</v>
      </c>
      <c r="F35" s="3">
        <v>0</v>
      </c>
      <c r="G35" s="3">
        <f t="shared" si="1"/>
        <v>2123.0100000000002</v>
      </c>
      <c r="H35" s="3">
        <f t="shared" si="2"/>
        <v>1440.1829538982706</v>
      </c>
      <c r="I35" s="3">
        <f t="shared" si="3"/>
        <v>682.82704610172971</v>
      </c>
      <c r="J35" s="3">
        <v>0</v>
      </c>
      <c r="K35" s="3">
        <f t="shared" si="4"/>
        <v>66842.446825995503</v>
      </c>
    </row>
    <row r="36" spans="2:11" x14ac:dyDescent="0.3">
      <c r="B36" s="2">
        <v>46459</v>
      </c>
      <c r="C36" s="3">
        <f t="shared" si="5"/>
        <v>66842.446825995503</v>
      </c>
      <c r="D36" s="3">
        <v>30.416699999999999</v>
      </c>
      <c r="E36" s="3">
        <f t="shared" si="0"/>
        <v>668.42520077992015</v>
      </c>
      <c r="F36" s="3">
        <v>0</v>
      </c>
      <c r="G36" s="3">
        <f t="shared" si="1"/>
        <v>2123.0100000000002</v>
      </c>
      <c r="H36" s="3">
        <f t="shared" si="2"/>
        <v>1454.5847992200802</v>
      </c>
      <c r="I36" s="3">
        <f t="shared" si="3"/>
        <v>668.42520077992015</v>
      </c>
      <c r="J36" s="3">
        <v>0</v>
      </c>
      <c r="K36" s="3">
        <f t="shared" si="4"/>
        <v>65387.862026775423</v>
      </c>
    </row>
    <row r="37" spans="2:11" x14ac:dyDescent="0.3">
      <c r="B37" s="2">
        <v>46490</v>
      </c>
      <c r="C37" s="3">
        <f t="shared" si="5"/>
        <v>65387.862026775423</v>
      </c>
      <c r="D37" s="3">
        <v>30.416699999999999</v>
      </c>
      <c r="E37" s="3">
        <f t="shared" si="0"/>
        <v>653.87933684706411</v>
      </c>
      <c r="F37" s="3">
        <v>0</v>
      </c>
      <c r="G37" s="3">
        <f t="shared" si="1"/>
        <v>2123.0100000000002</v>
      </c>
      <c r="H37" s="3">
        <f t="shared" si="2"/>
        <v>1469.130663152936</v>
      </c>
      <c r="I37" s="3">
        <f t="shared" si="3"/>
        <v>653.87933684706411</v>
      </c>
      <c r="J37" s="3">
        <v>0</v>
      </c>
      <c r="K37" s="3">
        <f t="shared" si="4"/>
        <v>63918.731363622486</v>
      </c>
    </row>
    <row r="38" spans="2:11" x14ac:dyDescent="0.3">
      <c r="B38" s="2">
        <v>46520</v>
      </c>
      <c r="C38" s="3">
        <f t="shared" si="5"/>
        <v>63918.731363622486</v>
      </c>
      <c r="D38" s="3">
        <v>30.416699999999999</v>
      </c>
      <c r="E38" s="3">
        <f t="shared" si="0"/>
        <v>639.1880141154727</v>
      </c>
      <c r="F38" s="3">
        <v>0</v>
      </c>
      <c r="G38" s="3">
        <f t="shared" si="1"/>
        <v>2123.0100000000002</v>
      </c>
      <c r="H38" s="3">
        <f t="shared" si="2"/>
        <v>1483.8219858845275</v>
      </c>
      <c r="I38" s="3">
        <f t="shared" si="3"/>
        <v>639.1880141154727</v>
      </c>
      <c r="J38" s="3">
        <v>0</v>
      </c>
      <c r="K38" s="3">
        <f t="shared" si="4"/>
        <v>62434.90937773796</v>
      </c>
    </row>
    <row r="39" spans="2:11" x14ac:dyDescent="0.3">
      <c r="B39" s="2">
        <v>46551</v>
      </c>
      <c r="C39" s="3">
        <f t="shared" si="5"/>
        <v>62434.90937773796</v>
      </c>
      <c r="D39" s="3">
        <v>30.416699999999999</v>
      </c>
      <c r="E39" s="3">
        <f t="shared" si="0"/>
        <v>624.34977799556452</v>
      </c>
      <c r="F39" s="3">
        <v>0</v>
      </c>
      <c r="G39" s="3">
        <f t="shared" si="1"/>
        <v>2123.0100000000002</v>
      </c>
      <c r="H39" s="3">
        <f t="shared" si="2"/>
        <v>1498.6602220044356</v>
      </c>
      <c r="I39" s="3">
        <f t="shared" si="3"/>
        <v>624.34977799556452</v>
      </c>
      <c r="J39" s="3">
        <v>0</v>
      </c>
      <c r="K39" s="3">
        <f t="shared" si="4"/>
        <v>60936.249155733523</v>
      </c>
    </row>
    <row r="40" spans="2:11" x14ac:dyDescent="0.3">
      <c r="B40" s="2">
        <v>46581</v>
      </c>
      <c r="C40" s="3">
        <f t="shared" si="5"/>
        <v>60936.249155733523</v>
      </c>
      <c r="D40" s="3">
        <v>30.416699999999999</v>
      </c>
      <c r="E40" s="3">
        <f t="shared" si="0"/>
        <v>609.36315935184643</v>
      </c>
      <c r="F40" s="3">
        <v>0</v>
      </c>
      <c r="G40" s="3">
        <f t="shared" si="1"/>
        <v>2123.0100000000002</v>
      </c>
      <c r="H40" s="3">
        <f t="shared" si="2"/>
        <v>1513.6468406481538</v>
      </c>
      <c r="I40" s="3">
        <f t="shared" si="3"/>
        <v>609.36315935184643</v>
      </c>
      <c r="J40" s="3">
        <v>0</v>
      </c>
      <c r="K40" s="3">
        <f t="shared" si="4"/>
        <v>59422.602315085373</v>
      </c>
    </row>
    <row r="41" spans="2:11" x14ac:dyDescent="0.3">
      <c r="B41" s="2">
        <v>46612</v>
      </c>
      <c r="C41" s="3">
        <f t="shared" si="5"/>
        <v>59422.602315085373</v>
      </c>
      <c r="D41" s="3">
        <v>30.416699999999999</v>
      </c>
      <c r="E41" s="3">
        <f t="shared" si="0"/>
        <v>594.22667435745439</v>
      </c>
      <c r="F41" s="3">
        <v>0</v>
      </c>
      <c r="G41" s="3">
        <f t="shared" si="1"/>
        <v>2123.0100000000002</v>
      </c>
      <c r="H41" s="3">
        <f t="shared" si="2"/>
        <v>1528.7833256425458</v>
      </c>
      <c r="I41" s="3">
        <f t="shared" si="3"/>
        <v>594.22667435745439</v>
      </c>
      <c r="J41" s="3">
        <v>0</v>
      </c>
      <c r="K41" s="3">
        <f t="shared" si="4"/>
        <v>57893.818989442829</v>
      </c>
    </row>
    <row r="42" spans="2:11" x14ac:dyDescent="0.3">
      <c r="B42" s="2">
        <v>46643</v>
      </c>
      <c r="C42" s="3">
        <f t="shared" si="5"/>
        <v>57893.818989442829</v>
      </c>
      <c r="D42" s="3">
        <v>30.416699999999999</v>
      </c>
      <c r="E42" s="3">
        <f t="shared" ref="E42:E73" si="9">C42*$C$3*D42/365</f>
        <v>578.93882434723912</v>
      </c>
      <c r="F42" s="3">
        <v>0</v>
      </c>
      <c r="G42" s="3">
        <f t="shared" ref="G42:G73" si="10">$C$5</f>
        <v>2123.0100000000002</v>
      </c>
      <c r="H42" s="3">
        <f t="shared" ref="H42:H73" si="11">G42-E42</f>
        <v>1544.0711756527612</v>
      </c>
      <c r="I42" s="3">
        <f t="shared" ref="I42:I73" si="12">E42</f>
        <v>578.93882434723912</v>
      </c>
      <c r="J42" s="3">
        <v>0</v>
      </c>
      <c r="K42" s="3">
        <f t="shared" ref="K42:K73" si="13">C42 - H42</f>
        <v>56349.747813790069</v>
      </c>
    </row>
    <row r="43" spans="2:11" x14ac:dyDescent="0.3">
      <c r="B43" s="2">
        <v>46673</v>
      </c>
      <c r="C43" s="3">
        <f t="shared" ref="C43:C73" si="14">K42</f>
        <v>56349.747813790069</v>
      </c>
      <c r="D43" s="3">
        <v>30.416699999999999</v>
      </c>
      <c r="E43" s="3">
        <f t="shared" si="9"/>
        <v>563.49809566938359</v>
      </c>
      <c r="F43" s="3">
        <v>0</v>
      </c>
      <c r="G43" s="3">
        <f t="shared" si="10"/>
        <v>2123.0100000000002</v>
      </c>
      <c r="H43" s="3">
        <f t="shared" si="11"/>
        <v>1559.5119043306167</v>
      </c>
      <c r="I43" s="3">
        <f t="shared" si="12"/>
        <v>563.49809566938359</v>
      </c>
      <c r="J43" s="3">
        <v>0</v>
      </c>
      <c r="K43" s="3">
        <f t="shared" si="13"/>
        <v>54790.23590945945</v>
      </c>
    </row>
    <row r="44" spans="2:11" x14ac:dyDescent="0.3">
      <c r="B44" s="2">
        <v>46704</v>
      </c>
      <c r="C44" s="3">
        <f t="shared" si="14"/>
        <v>54790.23590945945</v>
      </c>
      <c r="D44" s="3">
        <v>30.416699999999999</v>
      </c>
      <c r="E44" s="3">
        <f t="shared" si="9"/>
        <v>547.90295953553596</v>
      </c>
      <c r="F44" s="3">
        <v>0</v>
      </c>
      <c r="G44" s="3">
        <f t="shared" si="10"/>
        <v>2123.0100000000002</v>
      </c>
      <c r="H44" s="3">
        <f t="shared" si="11"/>
        <v>1575.1070404644643</v>
      </c>
      <c r="I44" s="3">
        <f t="shared" si="12"/>
        <v>547.90295953553596</v>
      </c>
      <c r="J44" s="3">
        <v>0</v>
      </c>
      <c r="K44" s="3">
        <f t="shared" si="13"/>
        <v>53215.128868994987</v>
      </c>
    </row>
    <row r="45" spans="2:11" x14ac:dyDescent="0.3">
      <c r="B45" s="2">
        <v>46734</v>
      </c>
      <c r="C45" s="3">
        <f t="shared" si="14"/>
        <v>53215.128868994987</v>
      </c>
      <c r="D45" s="3">
        <v>30.416699999999999</v>
      </c>
      <c r="E45" s="3">
        <f t="shared" si="9"/>
        <v>532.15187186944422</v>
      </c>
      <c r="F45" s="3">
        <v>0</v>
      </c>
      <c r="G45" s="3">
        <f t="shared" si="10"/>
        <v>2123.0100000000002</v>
      </c>
      <c r="H45" s="3">
        <f t="shared" si="11"/>
        <v>1590.858128130556</v>
      </c>
      <c r="I45" s="3">
        <f t="shared" si="12"/>
        <v>532.15187186944422</v>
      </c>
      <c r="J45" s="3">
        <v>0</v>
      </c>
      <c r="K45" s="3">
        <f t="shared" si="13"/>
        <v>51624.270740864435</v>
      </c>
    </row>
    <row r="46" spans="2:11" x14ac:dyDescent="0.3">
      <c r="B46" s="2">
        <v>46765</v>
      </c>
      <c r="C46" s="3">
        <f t="shared" si="14"/>
        <v>51624.270740864435</v>
      </c>
      <c r="D46" s="3">
        <v>30.416699999999999</v>
      </c>
      <c r="E46" s="3">
        <f t="shared" si="9"/>
        <v>516.24327315407709</v>
      </c>
      <c r="F46" s="3">
        <v>0</v>
      </c>
      <c r="G46" s="3">
        <f t="shared" si="10"/>
        <v>2123.0100000000002</v>
      </c>
      <c r="H46" s="3">
        <f t="shared" si="11"/>
        <v>1606.7667268459231</v>
      </c>
      <c r="I46" s="3">
        <f t="shared" si="12"/>
        <v>516.24327315407709</v>
      </c>
      <c r="J46" s="3">
        <v>0</v>
      </c>
      <c r="K46" s="3">
        <f t="shared" si="13"/>
        <v>50017.504014018508</v>
      </c>
    </row>
    <row r="47" spans="2:11" x14ac:dyDescent="0.3">
      <c r="B47" s="2">
        <v>46796</v>
      </c>
      <c r="C47" s="3">
        <f t="shared" si="14"/>
        <v>50017.504014018508</v>
      </c>
      <c r="D47" s="3">
        <v>30.416699999999999</v>
      </c>
      <c r="E47" s="3">
        <f t="shared" si="9"/>
        <v>500.1755882772153</v>
      </c>
      <c r="F47" s="3">
        <v>0</v>
      </c>
      <c r="G47" s="3">
        <f t="shared" si="10"/>
        <v>2123.0100000000002</v>
      </c>
      <c r="H47" s="3">
        <f t="shared" si="11"/>
        <v>1622.8344117227848</v>
      </c>
      <c r="I47" s="3">
        <f t="shared" si="12"/>
        <v>500.1755882772153</v>
      </c>
      <c r="J47" s="3">
        <v>0</v>
      </c>
      <c r="K47" s="3">
        <f t="shared" si="13"/>
        <v>48394.669602295726</v>
      </c>
    </row>
    <row r="48" spans="2:11" x14ac:dyDescent="0.3">
      <c r="B48" s="2">
        <v>46825</v>
      </c>
      <c r="C48" s="3">
        <f t="shared" si="14"/>
        <v>48394.669602295726</v>
      </c>
      <c r="D48" s="3">
        <v>30.416699999999999</v>
      </c>
      <c r="E48" s="3">
        <f t="shared" si="9"/>
        <v>483.9472263755008</v>
      </c>
      <c r="F48" s="3">
        <v>0</v>
      </c>
      <c r="G48" s="3">
        <f t="shared" si="10"/>
        <v>2123.0100000000002</v>
      </c>
      <c r="H48" s="3">
        <f t="shared" si="11"/>
        <v>1639.0627736244994</v>
      </c>
      <c r="I48" s="3">
        <f t="shared" si="12"/>
        <v>483.9472263755008</v>
      </c>
      <c r="J48" s="3">
        <v>0</v>
      </c>
      <c r="K48" s="3">
        <f t="shared" si="13"/>
        <v>46755.606828671225</v>
      </c>
    </row>
    <row r="49" spans="2:11" x14ac:dyDescent="0.3">
      <c r="B49" s="2">
        <v>46856</v>
      </c>
      <c r="C49" s="3">
        <f t="shared" si="14"/>
        <v>46755.606828671225</v>
      </c>
      <c r="D49" s="3">
        <v>30.416699999999999</v>
      </c>
      <c r="E49" s="3">
        <f t="shared" si="9"/>
        <v>467.55658067692406</v>
      </c>
      <c r="F49" s="3">
        <v>0</v>
      </c>
      <c r="G49" s="3">
        <f t="shared" si="10"/>
        <v>2123.0100000000002</v>
      </c>
      <c r="H49" s="3">
        <f t="shared" si="11"/>
        <v>1655.4534193230761</v>
      </c>
      <c r="I49" s="3">
        <f t="shared" si="12"/>
        <v>467.55658067692406</v>
      </c>
      <c r="J49" s="3">
        <v>0</v>
      </c>
      <c r="K49" s="3">
        <f t="shared" si="13"/>
        <v>45100.153409348146</v>
      </c>
    </row>
    <row r="50" spans="2:11" x14ac:dyDescent="0.3">
      <c r="B50" s="2">
        <v>46886</v>
      </c>
      <c r="C50" s="3">
        <f t="shared" si="14"/>
        <v>45100.153409348146</v>
      </c>
      <c r="D50" s="3">
        <v>30.416699999999999</v>
      </c>
      <c r="E50" s="3">
        <f t="shared" si="9"/>
        <v>451.00202834173791</v>
      </c>
      <c r="F50" s="3">
        <v>0</v>
      </c>
      <c r="G50" s="3">
        <f t="shared" si="10"/>
        <v>2123.0100000000002</v>
      </c>
      <c r="H50" s="3">
        <f t="shared" si="11"/>
        <v>1672.0079716582622</v>
      </c>
      <c r="I50" s="3">
        <f t="shared" si="12"/>
        <v>451.00202834173791</v>
      </c>
      <c r="J50" s="3">
        <v>0</v>
      </c>
      <c r="K50" s="3">
        <f t="shared" si="13"/>
        <v>43428.145437689884</v>
      </c>
    </row>
    <row r="51" spans="2:11" x14ac:dyDescent="0.3">
      <c r="B51" s="2">
        <v>46917</v>
      </c>
      <c r="C51" s="3">
        <f t="shared" si="14"/>
        <v>43428.145437689884</v>
      </c>
      <c r="D51" s="3">
        <v>30.416699999999999</v>
      </c>
      <c r="E51" s="3">
        <f t="shared" si="9"/>
        <v>434.28193030178028</v>
      </c>
      <c r="F51" s="3">
        <v>0</v>
      </c>
      <c r="G51" s="3">
        <f t="shared" si="10"/>
        <v>2123.0100000000002</v>
      </c>
      <c r="H51" s="3">
        <f t="shared" si="11"/>
        <v>1688.72806969822</v>
      </c>
      <c r="I51" s="3">
        <f t="shared" si="12"/>
        <v>434.28193030178028</v>
      </c>
      <c r="J51" s="3">
        <v>0</v>
      </c>
      <c r="K51" s="3">
        <f t="shared" si="13"/>
        <v>41739.417367991664</v>
      </c>
    </row>
    <row r="52" spans="2:11" x14ac:dyDescent="0.3">
      <c r="B52" s="2">
        <v>46947</v>
      </c>
      <c r="C52" s="3">
        <f t="shared" si="14"/>
        <v>41739.417367991664</v>
      </c>
      <c r="D52" s="3">
        <v>30.416699999999999</v>
      </c>
      <c r="E52" s="3">
        <f t="shared" si="9"/>
        <v>417.39463109818911</v>
      </c>
      <c r="F52" s="3">
        <v>0</v>
      </c>
      <c r="G52" s="3">
        <f t="shared" si="10"/>
        <v>2123.0100000000002</v>
      </c>
      <c r="H52" s="3">
        <f t="shared" si="11"/>
        <v>1705.6153689018111</v>
      </c>
      <c r="I52" s="3">
        <f t="shared" si="12"/>
        <v>417.39463109818911</v>
      </c>
      <c r="J52" s="3">
        <v>0</v>
      </c>
      <c r="K52" s="3">
        <f t="shared" si="13"/>
        <v>40033.801999089854</v>
      </c>
    </row>
    <row r="53" spans="2:11" x14ac:dyDescent="0.3">
      <c r="B53" s="2">
        <v>46978</v>
      </c>
      <c r="C53" s="3">
        <f t="shared" si="14"/>
        <v>40033.801999089854</v>
      </c>
      <c r="D53" s="3">
        <v>30.416699999999999</v>
      </c>
      <c r="E53" s="3">
        <f t="shared" si="9"/>
        <v>400.33845871749577</v>
      </c>
      <c r="F53" s="3">
        <v>0</v>
      </c>
      <c r="G53" s="3">
        <f t="shared" si="10"/>
        <v>2123.0100000000002</v>
      </c>
      <c r="H53" s="3">
        <f t="shared" si="11"/>
        <v>1722.6715412825044</v>
      </c>
      <c r="I53" s="3">
        <f t="shared" si="12"/>
        <v>400.33845871749577</v>
      </c>
      <c r="J53" s="3">
        <v>0</v>
      </c>
      <c r="K53" s="3">
        <f t="shared" si="13"/>
        <v>38311.130457807347</v>
      </c>
    </row>
    <row r="54" spans="2:11" x14ac:dyDescent="0.3">
      <c r="B54" s="2">
        <v>47009</v>
      </c>
      <c r="C54" s="3">
        <f t="shared" si="14"/>
        <v>38311.130457807347</v>
      </c>
      <c r="D54" s="3">
        <v>30.416699999999999</v>
      </c>
      <c r="E54" s="3">
        <f t="shared" si="9"/>
        <v>383.11172442607852</v>
      </c>
      <c r="F54" s="3">
        <v>0</v>
      </c>
      <c r="G54" s="3">
        <f t="shared" si="10"/>
        <v>2123.0100000000002</v>
      </c>
      <c r="H54" s="3">
        <f t="shared" si="11"/>
        <v>1739.8982755739216</v>
      </c>
      <c r="I54" s="3">
        <f t="shared" si="12"/>
        <v>383.11172442607852</v>
      </c>
      <c r="J54" s="3">
        <v>0</v>
      </c>
      <c r="K54" s="3">
        <f t="shared" si="13"/>
        <v>36571.232182233427</v>
      </c>
    </row>
    <row r="55" spans="2:11" x14ac:dyDescent="0.3">
      <c r="B55" s="2">
        <v>47039</v>
      </c>
      <c r="C55" s="3">
        <f t="shared" si="14"/>
        <v>36571.232182233427</v>
      </c>
      <c r="D55" s="3">
        <v>30.416699999999999</v>
      </c>
      <c r="E55" s="3">
        <f t="shared" si="9"/>
        <v>365.71272260296087</v>
      </c>
      <c r="F55" s="3">
        <v>0</v>
      </c>
      <c r="G55" s="3">
        <f t="shared" si="10"/>
        <v>2123.0100000000002</v>
      </c>
      <c r="H55" s="3">
        <f t="shared" si="11"/>
        <v>1757.2972773970394</v>
      </c>
      <c r="I55" s="3">
        <f t="shared" si="12"/>
        <v>365.71272260296087</v>
      </c>
      <c r="J55" s="3">
        <v>0</v>
      </c>
      <c r="K55" s="3">
        <f t="shared" si="13"/>
        <v>34813.934904836387</v>
      </c>
    </row>
    <row r="56" spans="2:11" x14ac:dyDescent="0.3">
      <c r="B56" s="2">
        <v>47070</v>
      </c>
      <c r="C56" s="3">
        <f t="shared" si="14"/>
        <v>34813.934904836387</v>
      </c>
      <c r="D56" s="3">
        <v>30.416699999999999</v>
      </c>
      <c r="E56" s="3">
        <f t="shared" si="9"/>
        <v>348.13973057093818</v>
      </c>
      <c r="F56" s="3">
        <v>0</v>
      </c>
      <c r="G56" s="3">
        <f t="shared" si="10"/>
        <v>2123.0100000000002</v>
      </c>
      <c r="H56" s="3">
        <f t="shared" si="11"/>
        <v>1774.8702694290621</v>
      </c>
      <c r="I56" s="3">
        <f t="shared" si="12"/>
        <v>348.13973057093818</v>
      </c>
      <c r="J56" s="3">
        <v>0</v>
      </c>
      <c r="K56" s="3">
        <f t="shared" si="13"/>
        <v>33039.064635407325</v>
      </c>
    </row>
    <row r="57" spans="2:11" x14ac:dyDescent="0.3">
      <c r="B57" s="2">
        <v>47100</v>
      </c>
      <c r="C57" s="3">
        <f t="shared" si="14"/>
        <v>33039.064635407325</v>
      </c>
      <c r="D57" s="3">
        <v>30.416699999999999</v>
      </c>
      <c r="E57" s="3">
        <f t="shared" si="9"/>
        <v>330.39100842601442</v>
      </c>
      <c r="F57" s="3">
        <v>0</v>
      </c>
      <c r="G57" s="3">
        <f t="shared" si="10"/>
        <v>2123.0100000000002</v>
      </c>
      <c r="H57" s="3">
        <f t="shared" si="11"/>
        <v>1792.6189915739858</v>
      </c>
      <c r="I57" s="3">
        <f t="shared" si="12"/>
        <v>330.39100842601442</v>
      </c>
      <c r="J57" s="3">
        <v>0</v>
      </c>
      <c r="K57" s="3">
        <f t="shared" si="13"/>
        <v>31246.44564383334</v>
      </c>
    </row>
    <row r="58" spans="2:11" x14ac:dyDescent="0.3">
      <c r="B58" s="2">
        <v>47131</v>
      </c>
      <c r="C58" s="3">
        <f t="shared" si="14"/>
        <v>31246.44564383334</v>
      </c>
      <c r="D58" s="3">
        <v>30.416699999999999</v>
      </c>
      <c r="E58" s="3">
        <f t="shared" si="9"/>
        <v>312.46479886513498</v>
      </c>
      <c r="F58" s="3">
        <v>0</v>
      </c>
      <c r="G58" s="3">
        <f t="shared" si="10"/>
        <v>2123.0100000000002</v>
      </c>
      <c r="H58" s="3">
        <f t="shared" si="11"/>
        <v>1810.5452011348652</v>
      </c>
      <c r="I58" s="3">
        <f t="shared" si="12"/>
        <v>312.46479886513498</v>
      </c>
      <c r="J58" s="3">
        <v>0</v>
      </c>
      <c r="K58" s="3">
        <f t="shared" si="13"/>
        <v>29435.900442698476</v>
      </c>
    </row>
    <row r="59" spans="2:11" x14ac:dyDescent="0.3">
      <c r="B59" s="2">
        <v>47162</v>
      </c>
      <c r="C59" s="3">
        <f t="shared" si="14"/>
        <v>29435.900442698476</v>
      </c>
      <c r="D59" s="3">
        <v>30.416699999999999</v>
      </c>
      <c r="E59" s="3">
        <f t="shared" si="9"/>
        <v>294.35932701219508</v>
      </c>
      <c r="F59" s="3">
        <v>0</v>
      </c>
      <c r="G59" s="3">
        <f t="shared" si="10"/>
        <v>2123.0100000000002</v>
      </c>
      <c r="H59" s="3">
        <f t="shared" si="11"/>
        <v>1828.6506729878051</v>
      </c>
      <c r="I59" s="3">
        <f t="shared" si="12"/>
        <v>294.35932701219508</v>
      </c>
      <c r="J59" s="3">
        <v>0</v>
      </c>
      <c r="K59" s="3">
        <f t="shared" si="13"/>
        <v>27607.24976971067</v>
      </c>
    </row>
    <row r="60" spans="2:11" x14ac:dyDescent="0.3">
      <c r="B60" s="2">
        <v>47190</v>
      </c>
      <c r="C60" s="3">
        <f t="shared" si="14"/>
        <v>27607.24976971067</v>
      </c>
      <c r="D60" s="3">
        <v>30.416699999999999</v>
      </c>
      <c r="E60" s="3">
        <f t="shared" si="9"/>
        <v>276.07280024230965</v>
      </c>
      <c r="F60" s="3">
        <v>0</v>
      </c>
      <c r="G60" s="3">
        <f t="shared" si="10"/>
        <v>2123.0100000000002</v>
      </c>
      <c r="H60" s="3">
        <f t="shared" si="11"/>
        <v>1846.9371997576905</v>
      </c>
      <c r="I60" s="3">
        <f t="shared" si="12"/>
        <v>276.07280024230965</v>
      </c>
      <c r="J60" s="3">
        <v>0</v>
      </c>
      <c r="K60" s="3">
        <f t="shared" si="13"/>
        <v>25760.312569952981</v>
      </c>
    </row>
    <row r="61" spans="2:11" x14ac:dyDescent="0.3">
      <c r="B61" s="2">
        <v>47221</v>
      </c>
      <c r="C61" s="3">
        <f t="shared" si="14"/>
        <v>25760.312569952981</v>
      </c>
      <c r="D61" s="3">
        <v>30.416699999999999</v>
      </c>
      <c r="E61" s="3">
        <f t="shared" si="9"/>
        <v>257.60340800432505</v>
      </c>
      <c r="F61" s="3">
        <v>0</v>
      </c>
      <c r="G61" s="3">
        <f t="shared" si="10"/>
        <v>2123.0100000000002</v>
      </c>
      <c r="H61" s="3">
        <f t="shared" si="11"/>
        <v>1865.4065919956752</v>
      </c>
      <c r="I61" s="3">
        <f t="shared" si="12"/>
        <v>257.60340800432505</v>
      </c>
      <c r="J61" s="3">
        <v>0</v>
      </c>
      <c r="K61" s="3">
        <f t="shared" si="13"/>
        <v>23894.905977957307</v>
      </c>
    </row>
    <row r="62" spans="2:11" x14ac:dyDescent="0.3">
      <c r="B62" s="2">
        <v>47251</v>
      </c>
      <c r="C62" s="3">
        <f t="shared" si="14"/>
        <v>23894.905977957307</v>
      </c>
      <c r="D62" s="3">
        <v>30.416699999999999</v>
      </c>
      <c r="E62" s="3">
        <f t="shared" si="9"/>
        <v>238.94932164155639</v>
      </c>
      <c r="F62" s="3">
        <v>0</v>
      </c>
      <c r="G62" s="3">
        <f t="shared" si="10"/>
        <v>2123.0100000000002</v>
      </c>
      <c r="H62" s="3">
        <f t="shared" si="11"/>
        <v>1884.0606783584437</v>
      </c>
      <c r="I62" s="3">
        <f t="shared" si="12"/>
        <v>238.94932164155639</v>
      </c>
      <c r="J62" s="3">
        <v>0</v>
      </c>
      <c r="K62" s="3">
        <f t="shared" si="13"/>
        <v>22010.845299598863</v>
      </c>
    </row>
    <row r="63" spans="2:11" x14ac:dyDescent="0.3">
      <c r="B63" s="2">
        <v>47282</v>
      </c>
      <c r="C63" s="3">
        <f t="shared" si="14"/>
        <v>22010.845299598863</v>
      </c>
      <c r="D63" s="3">
        <v>30.416699999999999</v>
      </c>
      <c r="E63" s="3">
        <f t="shared" si="9"/>
        <v>220.10869421073161</v>
      </c>
      <c r="F63" s="3">
        <v>0</v>
      </c>
      <c r="G63" s="3">
        <f t="shared" si="10"/>
        <v>2123.0100000000002</v>
      </c>
      <c r="H63" s="3">
        <f t="shared" si="11"/>
        <v>1902.9013057892687</v>
      </c>
      <c r="I63" s="3">
        <f t="shared" si="12"/>
        <v>220.10869421073161</v>
      </c>
      <c r="J63" s="3">
        <v>0</v>
      </c>
      <c r="K63" s="3">
        <f t="shared" si="13"/>
        <v>20107.943993809593</v>
      </c>
    </row>
    <row r="64" spans="2:11" x14ac:dyDescent="0.3">
      <c r="B64" s="2">
        <v>47312</v>
      </c>
      <c r="C64" s="3">
        <f t="shared" si="14"/>
        <v>20107.943993809593</v>
      </c>
      <c r="D64" s="3">
        <v>30.416699999999999</v>
      </c>
      <c r="E64" s="3">
        <f t="shared" si="9"/>
        <v>201.079660299126</v>
      </c>
      <c r="F64" s="3">
        <v>0</v>
      </c>
      <c r="G64" s="3">
        <f t="shared" si="10"/>
        <v>2123.0100000000002</v>
      </c>
      <c r="H64" s="3">
        <f t="shared" si="11"/>
        <v>1921.9303397008741</v>
      </c>
      <c r="I64" s="3">
        <f t="shared" si="12"/>
        <v>201.079660299126</v>
      </c>
      <c r="J64" s="3">
        <v>0</v>
      </c>
      <c r="K64" s="3">
        <f t="shared" si="13"/>
        <v>18186.013654108719</v>
      </c>
    </row>
    <row r="65" spans="2:11" x14ac:dyDescent="0.3">
      <c r="B65" s="2">
        <v>47343</v>
      </c>
      <c r="C65" s="3">
        <f t="shared" si="14"/>
        <v>18186.013654108719</v>
      </c>
      <c r="D65" s="3">
        <v>30.416699999999999</v>
      </c>
      <c r="E65" s="3">
        <f t="shared" si="9"/>
        <v>181.86033583986693</v>
      </c>
      <c r="F65" s="3">
        <v>0</v>
      </c>
      <c r="G65" s="3">
        <f t="shared" si="10"/>
        <v>2123.0100000000002</v>
      </c>
      <c r="H65" s="3">
        <f t="shared" si="11"/>
        <v>1941.1496641601334</v>
      </c>
      <c r="I65" s="3">
        <f t="shared" si="12"/>
        <v>181.86033583986693</v>
      </c>
      <c r="J65" s="3">
        <v>0</v>
      </c>
      <c r="K65" s="3">
        <f t="shared" si="13"/>
        <v>16244.863989948586</v>
      </c>
    </row>
    <row r="66" spans="2:11" x14ac:dyDescent="0.3">
      <c r="B66" s="2">
        <v>47374</v>
      </c>
      <c r="C66" s="3">
        <f t="shared" si="14"/>
        <v>16244.863989948586</v>
      </c>
      <c r="D66" s="3">
        <v>30.416699999999999</v>
      </c>
      <c r="E66" s="3">
        <f t="shared" si="9"/>
        <v>162.4488179253926</v>
      </c>
      <c r="F66" s="3">
        <v>0</v>
      </c>
      <c r="G66" s="3">
        <f t="shared" si="10"/>
        <v>2123.0100000000002</v>
      </c>
      <c r="H66" s="3">
        <f t="shared" si="11"/>
        <v>1960.5611820746076</v>
      </c>
      <c r="I66" s="3">
        <f t="shared" si="12"/>
        <v>162.4488179253926</v>
      </c>
      <c r="J66" s="3">
        <v>0</v>
      </c>
      <c r="K66" s="3">
        <f t="shared" si="13"/>
        <v>14284.302807873979</v>
      </c>
    </row>
    <row r="67" spans="2:11" x14ac:dyDescent="0.3">
      <c r="B67" s="2">
        <v>47404</v>
      </c>
      <c r="C67" s="3">
        <f t="shared" si="14"/>
        <v>14284.302807873979</v>
      </c>
      <c r="D67" s="3">
        <v>30.416699999999999</v>
      </c>
      <c r="E67" s="3">
        <f t="shared" si="9"/>
        <v>142.84318461904454</v>
      </c>
      <c r="F67" s="3">
        <v>0</v>
      </c>
      <c r="G67" s="3">
        <f t="shared" si="10"/>
        <v>2123.0100000000002</v>
      </c>
      <c r="H67" s="3">
        <f t="shared" si="11"/>
        <v>1980.1668153809558</v>
      </c>
      <c r="I67" s="3">
        <f t="shared" si="12"/>
        <v>142.84318461904454</v>
      </c>
      <c r="J67" s="3">
        <v>0</v>
      </c>
      <c r="K67" s="3">
        <f t="shared" si="13"/>
        <v>12304.135992493024</v>
      </c>
    </row>
    <row r="68" spans="2:11" x14ac:dyDescent="0.3">
      <c r="B68" s="2">
        <v>47435</v>
      </c>
      <c r="C68" s="3">
        <f t="shared" si="14"/>
        <v>12304.135992493024</v>
      </c>
      <c r="D68" s="3">
        <v>30.416699999999999</v>
      </c>
      <c r="E68" s="3">
        <f t="shared" si="9"/>
        <v>123.04149476477671</v>
      </c>
      <c r="F68" s="3">
        <v>0</v>
      </c>
      <c r="G68" s="3">
        <f t="shared" si="10"/>
        <v>2123.0100000000002</v>
      </c>
      <c r="H68" s="3">
        <f t="shared" si="11"/>
        <v>1999.9685052352236</v>
      </c>
      <c r="I68" s="3">
        <f t="shared" si="12"/>
        <v>123.04149476477671</v>
      </c>
      <c r="J68" s="3">
        <v>0</v>
      </c>
      <c r="K68" s="3">
        <f t="shared" si="13"/>
        <v>10304.167487257801</v>
      </c>
    </row>
    <row r="69" spans="2:11" x14ac:dyDescent="0.3">
      <c r="B69" s="2">
        <v>47465</v>
      </c>
      <c r="C69" s="3">
        <f t="shared" si="14"/>
        <v>10304.167487257801</v>
      </c>
      <c r="D69" s="3">
        <v>30.416699999999999</v>
      </c>
      <c r="E69" s="3">
        <f t="shared" si="9"/>
        <v>103.04178779496142</v>
      </c>
      <c r="F69" s="3">
        <v>0</v>
      </c>
      <c r="G69" s="3">
        <f t="shared" si="10"/>
        <v>2123.0100000000002</v>
      </c>
      <c r="H69" s="3">
        <f t="shared" si="11"/>
        <v>2019.9682122050388</v>
      </c>
      <c r="I69" s="3">
        <f t="shared" si="12"/>
        <v>103.04178779496142</v>
      </c>
      <c r="J69" s="3">
        <v>0</v>
      </c>
      <c r="K69" s="3">
        <f t="shared" si="13"/>
        <v>8284.1992750527625</v>
      </c>
    </row>
    <row r="70" spans="2:11" x14ac:dyDescent="0.3">
      <c r="B70" s="2">
        <v>47496</v>
      </c>
      <c r="C70" s="3">
        <f t="shared" si="14"/>
        <v>8284.1992750527625</v>
      </c>
      <c r="D70" s="3">
        <v>30.416699999999999</v>
      </c>
      <c r="E70" s="3">
        <f t="shared" si="9"/>
        <v>82.842083536273094</v>
      </c>
      <c r="F70" s="3">
        <v>0</v>
      </c>
      <c r="G70" s="3">
        <f t="shared" si="10"/>
        <v>2123.0100000000002</v>
      </c>
      <c r="H70" s="3">
        <f t="shared" si="11"/>
        <v>2040.1679164637271</v>
      </c>
      <c r="I70" s="3">
        <f t="shared" si="12"/>
        <v>82.842083536273094</v>
      </c>
      <c r="J70" s="3">
        <v>0</v>
      </c>
      <c r="K70" s="3">
        <f t="shared" si="13"/>
        <v>6244.0313585890353</v>
      </c>
    </row>
    <row r="71" spans="2:11" x14ac:dyDescent="0.3">
      <c r="B71" s="2">
        <v>47527</v>
      </c>
      <c r="C71" s="3">
        <f t="shared" si="14"/>
        <v>6244.0313585890353</v>
      </c>
      <c r="D71" s="3">
        <v>30.416699999999999</v>
      </c>
      <c r="E71" s="3">
        <f t="shared" si="9"/>
        <v>62.440382013631265</v>
      </c>
      <c r="F71" s="3">
        <v>0</v>
      </c>
      <c r="G71" s="3">
        <f t="shared" si="10"/>
        <v>2123.0100000000002</v>
      </c>
      <c r="H71" s="3">
        <f t="shared" si="11"/>
        <v>2060.5696179863689</v>
      </c>
      <c r="I71" s="3">
        <f t="shared" si="12"/>
        <v>62.440382013631265</v>
      </c>
      <c r="J71" s="3">
        <v>0</v>
      </c>
      <c r="K71" s="3">
        <f t="shared" si="13"/>
        <v>4183.4617406026664</v>
      </c>
    </row>
    <row r="72" spans="2:11" x14ac:dyDescent="0.3">
      <c r="B72" s="2">
        <v>47555</v>
      </c>
      <c r="C72" s="3">
        <f t="shared" si="14"/>
        <v>4183.4617406026664</v>
      </c>
      <c r="D72" s="3">
        <v>30.416699999999999</v>
      </c>
      <c r="E72" s="3">
        <f t="shared" si="9"/>
        <v>41.834663252182722</v>
      </c>
      <c r="F72" s="3">
        <v>0</v>
      </c>
      <c r="G72" s="3">
        <f t="shared" si="10"/>
        <v>2123.0100000000002</v>
      </c>
      <c r="H72" s="3">
        <f t="shared" si="11"/>
        <v>2081.1753367478177</v>
      </c>
      <c r="I72" s="3">
        <f t="shared" si="12"/>
        <v>41.834663252182722</v>
      </c>
      <c r="J72" s="3">
        <v>0</v>
      </c>
      <c r="K72" s="3">
        <f t="shared" si="13"/>
        <v>2102.2864038548487</v>
      </c>
    </row>
    <row r="73" spans="2:11" x14ac:dyDescent="0.3">
      <c r="B73" s="2">
        <v>47586</v>
      </c>
      <c r="C73" s="3">
        <f t="shared" si="14"/>
        <v>2102.2864038548487</v>
      </c>
      <c r="D73" s="3">
        <v>30.416699999999999</v>
      </c>
      <c r="E73" s="3">
        <f t="shared" si="9"/>
        <v>21.022887077303597</v>
      </c>
      <c r="F73" s="3">
        <v>0</v>
      </c>
      <c r="G73" s="3">
        <f t="shared" si="10"/>
        <v>2123.0100000000002</v>
      </c>
      <c r="H73" s="3">
        <f t="shared" si="11"/>
        <v>2101.9871129226967</v>
      </c>
      <c r="I73" s="3">
        <f t="shared" si="12"/>
        <v>21.022887077303597</v>
      </c>
      <c r="J73" s="3">
        <v>0</v>
      </c>
      <c r="K73" s="3">
        <f t="shared" si="13"/>
        <v>0.2992909321519619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F90B3-DC40-42E0-9687-96691CBF1C3E}">
  <sheetPr codeName="Sheet32"/>
  <dimension ref="B2:S73"/>
  <sheetViews>
    <sheetView workbookViewId="0">
      <selection activeCell="N21" sqref="N21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5" width="10.6640625" bestFit="1" customWidth="1"/>
    <col min="16" max="16" width="9.77734375" bestFit="1" customWidth="1"/>
    <col min="17" max="18" width="9.109375" bestFit="1" customWidth="1"/>
    <col min="19" max="19" width="8.109375" bestFit="1" customWidth="1"/>
  </cols>
  <sheetData>
    <row r="2" spans="2:19" x14ac:dyDescent="0.3">
      <c r="B2" s="2" t="s">
        <v>0</v>
      </c>
      <c r="C2" s="3">
        <v>100000</v>
      </c>
    </row>
    <row r="3" spans="2:19" x14ac:dyDescent="0.3">
      <c r="B3" s="2" t="s">
        <v>1</v>
      </c>
      <c r="C3" s="3">
        <v>0.12</v>
      </c>
    </row>
    <row r="4" spans="2:19" x14ac:dyDescent="0.3">
      <c r="B4" s="2" t="s">
        <v>2</v>
      </c>
      <c r="C4" s="3">
        <v>64</v>
      </c>
    </row>
    <row r="5" spans="2:19" x14ac:dyDescent="0.3">
      <c r="B5" s="2" t="s">
        <v>3</v>
      </c>
      <c r="C5" s="3">
        <v>2123.0100000000002</v>
      </c>
    </row>
    <row r="6" spans="2:19" x14ac:dyDescent="0.3">
      <c r="B6" s="2" t="s">
        <v>4</v>
      </c>
      <c r="C6" s="3" t="s">
        <v>28</v>
      </c>
    </row>
    <row r="9" spans="2:19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  <c r="S9" t="s">
        <v>19</v>
      </c>
    </row>
    <row r="10" spans="2:19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2123.0100000000002</v>
      </c>
      <c r="H10" s="3">
        <f t="shared" ref="H10:H41" si="2">G10-E10</f>
        <v>1123.0100000000002</v>
      </c>
      <c r="I10" s="3">
        <f t="shared" ref="I10:I41" si="3">E10</f>
        <v>1000</v>
      </c>
      <c r="J10" s="3">
        <v>0</v>
      </c>
      <c r="K10" s="3">
        <f t="shared" ref="K10:K41" si="4">C10 - H10</f>
        <v>98876.99</v>
      </c>
      <c r="M10" t="s">
        <v>20</v>
      </c>
      <c r="N10" s="3">
        <f>SUM(G12:G23)</f>
        <v>25476.12000000001</v>
      </c>
      <c r="O10" s="3">
        <f>SUM(G24:G35)</f>
        <v>25476.12000000001</v>
      </c>
      <c r="P10" s="3">
        <f>SUM(G36:G47)</f>
        <v>25476.12000000001</v>
      </c>
      <c r="Q10" s="3">
        <f>SUM(G48:G59)</f>
        <v>25476.12000000001</v>
      </c>
      <c r="R10" s="3">
        <f>SUM(G60:G71)</f>
        <v>25476.12000000001</v>
      </c>
      <c r="S10" s="3">
        <f>SUM(G72:G73)</f>
        <v>4246.0200000000004</v>
      </c>
    </row>
    <row r="11" spans="2:19" x14ac:dyDescent="0.3">
      <c r="B11" s="2">
        <v>45701</v>
      </c>
      <c r="C11" s="3">
        <f t="shared" ref="C11:C42" si="5">K10</f>
        <v>98876.99</v>
      </c>
      <c r="D11" s="3">
        <v>30.416699999999999</v>
      </c>
      <c r="E11" s="3">
        <f t="shared" si="0"/>
        <v>988.77098358345211</v>
      </c>
      <c r="F11" s="3">
        <v>0</v>
      </c>
      <c r="G11" s="3">
        <f t="shared" si="1"/>
        <v>2123.0100000000002</v>
      </c>
      <c r="H11" s="3">
        <f t="shared" si="2"/>
        <v>1134.2390164165481</v>
      </c>
      <c r="I11" s="3">
        <f t="shared" si="3"/>
        <v>988.77098358345211</v>
      </c>
      <c r="J11" s="3">
        <v>0</v>
      </c>
      <c r="K11" s="3">
        <f t="shared" si="4"/>
        <v>97742.75098358345</v>
      </c>
      <c r="M11" t="s">
        <v>21</v>
      </c>
      <c r="N11" s="3">
        <f>SUM(G24:G71)</f>
        <v>101904.47999999995</v>
      </c>
      <c r="O11" s="3">
        <f>SUM(G36:G73)</f>
        <v>80674.38</v>
      </c>
      <c r="P11" s="3">
        <f>SUM(G48:G73)</f>
        <v>55198.260000000038</v>
      </c>
      <c r="Q11" s="3">
        <f>SUM(G60:G73)</f>
        <v>29722.140000000014</v>
      </c>
      <c r="R11" s="3">
        <f>SUM(G72:G73)</f>
        <v>4246.0200000000004</v>
      </c>
    </row>
    <row r="12" spans="2:19" x14ac:dyDescent="0.3">
      <c r="B12" s="2">
        <v>45729</v>
      </c>
      <c r="C12" s="3">
        <f t="shared" si="5"/>
        <v>97742.75098358345</v>
      </c>
      <c r="D12" s="3">
        <v>30.416699999999999</v>
      </c>
      <c r="E12" s="3">
        <f t="shared" si="0"/>
        <v>977.4285809892699</v>
      </c>
      <c r="F12" s="3">
        <v>0</v>
      </c>
      <c r="G12" s="3">
        <f t="shared" si="1"/>
        <v>2123.0100000000002</v>
      </c>
      <c r="H12" s="3">
        <f t="shared" si="2"/>
        <v>1145.5814190107303</v>
      </c>
      <c r="I12" s="3">
        <f t="shared" si="3"/>
        <v>977.4285809892699</v>
      </c>
      <c r="J12" s="3">
        <v>0</v>
      </c>
      <c r="K12" s="3">
        <f t="shared" si="4"/>
        <v>96597.169564572716</v>
      </c>
      <c r="M12" t="s">
        <v>22</v>
      </c>
      <c r="N12" s="3">
        <f>SUM(G72:G73)</f>
        <v>4246.0200000000004</v>
      </c>
    </row>
    <row r="13" spans="2:19" x14ac:dyDescent="0.3">
      <c r="B13" s="2">
        <v>45760</v>
      </c>
      <c r="C13" s="3">
        <f t="shared" si="5"/>
        <v>96597.169564572716</v>
      </c>
      <c r="D13" s="3">
        <v>30.416699999999999</v>
      </c>
      <c r="E13" s="3">
        <f t="shared" si="0"/>
        <v>965.97275424484576</v>
      </c>
      <c r="F13" s="3">
        <v>0</v>
      </c>
      <c r="G13" s="3">
        <f t="shared" si="1"/>
        <v>2123.0100000000002</v>
      </c>
      <c r="H13" s="3">
        <f t="shared" si="2"/>
        <v>1157.0372457551543</v>
      </c>
      <c r="I13" s="3">
        <f t="shared" si="3"/>
        <v>965.97275424484576</v>
      </c>
      <c r="J13" s="3">
        <v>0</v>
      </c>
      <c r="K13" s="3">
        <f t="shared" si="4"/>
        <v>95440.132318817559</v>
      </c>
    </row>
    <row r="14" spans="2:19" x14ac:dyDescent="0.3">
      <c r="B14" s="2">
        <v>45790</v>
      </c>
      <c r="C14" s="3">
        <f t="shared" si="5"/>
        <v>95440.132318817559</v>
      </c>
      <c r="D14" s="3">
        <v>30.416699999999999</v>
      </c>
      <c r="E14" s="3">
        <f t="shared" si="0"/>
        <v>954.40236910743374</v>
      </c>
      <c r="F14" s="3">
        <v>0</v>
      </c>
      <c r="G14" s="3">
        <f t="shared" si="1"/>
        <v>2123.0100000000002</v>
      </c>
      <c r="H14" s="3">
        <f t="shared" si="2"/>
        <v>1168.6076308925665</v>
      </c>
      <c r="I14" s="3">
        <f t="shared" si="3"/>
        <v>954.40236910743374</v>
      </c>
      <c r="J14" s="3">
        <v>0</v>
      </c>
      <c r="K14" s="3">
        <f t="shared" si="4"/>
        <v>94271.52468792499</v>
      </c>
      <c r="M14" t="s">
        <v>23</v>
      </c>
      <c r="N14" s="3">
        <f t="shared" ref="N14:S14" si="6">SUM(N10,N11,N12)</f>
        <v>131626.61999999997</v>
      </c>
      <c r="O14" s="3">
        <f t="shared" si="6"/>
        <v>106150.50000000001</v>
      </c>
      <c r="P14" s="3">
        <f t="shared" si="6"/>
        <v>80674.380000000048</v>
      </c>
      <c r="Q14" s="3">
        <f t="shared" si="6"/>
        <v>55198.260000000024</v>
      </c>
      <c r="R14" s="3">
        <f t="shared" si="6"/>
        <v>29722.14000000001</v>
      </c>
      <c r="S14" s="3">
        <f t="shared" si="6"/>
        <v>4246.0200000000004</v>
      </c>
    </row>
    <row r="15" spans="2:19" x14ac:dyDescent="0.3">
      <c r="B15" s="2">
        <v>45821</v>
      </c>
      <c r="C15" s="3">
        <f t="shared" si="5"/>
        <v>94271.52468792499</v>
      </c>
      <c r="D15" s="3">
        <v>30.416699999999999</v>
      </c>
      <c r="E15" s="3">
        <f t="shared" si="0"/>
        <v>942.71627999184909</v>
      </c>
      <c r="F15" s="3">
        <v>0</v>
      </c>
      <c r="G15" s="3">
        <f t="shared" si="1"/>
        <v>2123.0100000000002</v>
      </c>
      <c r="H15" s="3">
        <f t="shared" si="2"/>
        <v>1180.293720008151</v>
      </c>
      <c r="I15" s="3">
        <f t="shared" si="3"/>
        <v>942.71627999184909</v>
      </c>
      <c r="J15" s="3">
        <v>0</v>
      </c>
      <c r="K15" s="3">
        <f t="shared" si="4"/>
        <v>93091.230967916839</v>
      </c>
    </row>
    <row r="16" spans="2:19" x14ac:dyDescent="0.3">
      <c r="B16" s="2">
        <v>45851</v>
      </c>
      <c r="C16" s="3">
        <f t="shared" si="5"/>
        <v>93091.230967916839</v>
      </c>
      <c r="D16" s="3">
        <v>30.416699999999999</v>
      </c>
      <c r="E16" s="3">
        <f t="shared" si="0"/>
        <v>930.91332985704196</v>
      </c>
      <c r="F16" s="3">
        <v>0</v>
      </c>
      <c r="G16" s="3">
        <f t="shared" si="1"/>
        <v>2123.0100000000002</v>
      </c>
      <c r="H16" s="3">
        <f t="shared" si="2"/>
        <v>1192.0966701429584</v>
      </c>
      <c r="I16" s="3">
        <f t="shared" si="3"/>
        <v>930.91332985704196</v>
      </c>
      <c r="J16" s="3">
        <v>0</v>
      </c>
      <c r="K16" s="3">
        <f t="shared" si="4"/>
        <v>91899.134297773882</v>
      </c>
      <c r="M16" t="s">
        <v>24</v>
      </c>
      <c r="N16" s="3">
        <f>-SUM(E12:E73)</f>
        <v>-33884.168307348729</v>
      </c>
      <c r="O16" s="3">
        <f>-SUM(E24:E73)</f>
        <v>-22936.888991543405</v>
      </c>
      <c r="P16" s="3">
        <f>-SUM(E36:E73)</f>
        <v>-13832.232464936646</v>
      </c>
      <c r="Q16" s="3">
        <f>-SUM(E48:E73)</f>
        <v>-6803.88968863643</v>
      </c>
      <c r="R16" s="3">
        <f>-SUM(E60:E73)</f>
        <v>-2115.1895212214808</v>
      </c>
      <c r="S16" s="3">
        <f>-SUM(E72:E73)</f>
        <v>-62.857550329486315</v>
      </c>
    </row>
    <row r="17" spans="2:19" x14ac:dyDescent="0.3">
      <c r="B17" s="2">
        <v>45882</v>
      </c>
      <c r="C17" s="3">
        <f t="shared" si="5"/>
        <v>91899.134297773882</v>
      </c>
      <c r="D17" s="3">
        <v>30.416699999999999</v>
      </c>
      <c r="E17" s="3">
        <f t="shared" si="0"/>
        <v>918.99235009153927</v>
      </c>
      <c r="F17" s="3">
        <v>0</v>
      </c>
      <c r="G17" s="3">
        <f t="shared" si="1"/>
        <v>2123.0100000000002</v>
      </c>
      <c r="H17" s="3">
        <f t="shared" si="2"/>
        <v>1204.017649908461</v>
      </c>
      <c r="I17" s="3">
        <f t="shared" si="3"/>
        <v>918.99235009153927</v>
      </c>
      <c r="J17" s="3">
        <v>0</v>
      </c>
      <c r="K17" s="3">
        <f t="shared" si="4"/>
        <v>90695.11664786542</v>
      </c>
      <c r="M17" t="s">
        <v>25</v>
      </c>
      <c r="N17" s="3">
        <f t="shared" ref="N17:S17" si="7">SUM(N14,N16)</f>
        <v>97742.45169265123</v>
      </c>
      <c r="O17" s="3">
        <f t="shared" si="7"/>
        <v>83213.611008456617</v>
      </c>
      <c r="P17" s="3">
        <f t="shared" si="7"/>
        <v>66842.147535063399</v>
      </c>
      <c r="Q17" s="3">
        <f t="shared" si="7"/>
        <v>48394.370311363593</v>
      </c>
      <c r="R17" s="3">
        <f t="shared" si="7"/>
        <v>27606.95047877853</v>
      </c>
      <c r="S17" s="3">
        <f t="shared" si="7"/>
        <v>4183.1624496705144</v>
      </c>
    </row>
    <row r="18" spans="2:19" x14ac:dyDescent="0.3">
      <c r="B18" s="2">
        <v>45913</v>
      </c>
      <c r="C18" s="3">
        <f t="shared" si="5"/>
        <v>90695.11664786542</v>
      </c>
      <c r="D18" s="3">
        <v>30.416699999999999</v>
      </c>
      <c r="E18" s="3">
        <f t="shared" si="0"/>
        <v>906.95216039774061</v>
      </c>
      <c r="F18" s="3">
        <v>0</v>
      </c>
      <c r="G18" s="3">
        <f t="shared" si="1"/>
        <v>2123.0100000000002</v>
      </c>
      <c r="H18" s="3">
        <f t="shared" si="2"/>
        <v>1216.0578396022597</v>
      </c>
      <c r="I18" s="3">
        <f t="shared" si="3"/>
        <v>906.95216039774061</v>
      </c>
      <c r="J18" s="3">
        <v>0</v>
      </c>
      <c r="K18" s="3">
        <f t="shared" si="4"/>
        <v>89479.058808263158</v>
      </c>
    </row>
    <row r="19" spans="2:19" x14ac:dyDescent="0.3">
      <c r="B19" s="2">
        <v>45943</v>
      </c>
      <c r="C19" s="3">
        <f t="shared" si="5"/>
        <v>89479.058808263158</v>
      </c>
      <c r="D19" s="3">
        <v>30.416699999999999</v>
      </c>
      <c r="E19" s="3">
        <f t="shared" si="0"/>
        <v>894.79156867505674</v>
      </c>
      <c r="F19" s="3">
        <v>0</v>
      </c>
      <c r="G19" s="3">
        <f t="shared" si="1"/>
        <v>2123.0100000000002</v>
      </c>
      <c r="H19" s="3">
        <f t="shared" si="2"/>
        <v>1228.2184313249436</v>
      </c>
      <c r="I19" s="3">
        <f t="shared" si="3"/>
        <v>894.79156867505674</v>
      </c>
      <c r="J19" s="3">
        <v>0</v>
      </c>
      <c r="K19" s="3">
        <f t="shared" si="4"/>
        <v>88250.840376938213</v>
      </c>
      <c r="M19" t="s">
        <v>20</v>
      </c>
      <c r="N19" s="3">
        <f>SUM(H12:H23)</f>
        <v>14528.840684194667</v>
      </c>
      <c r="O19" s="3">
        <f>SUM(H24:H35)</f>
        <v>16371.463473393247</v>
      </c>
      <c r="P19" s="3">
        <f>SUM(H36:H47)</f>
        <v>18447.777223699788</v>
      </c>
      <c r="Q19" s="3">
        <f>SUM(H48:H59)</f>
        <v>20787.419832585052</v>
      </c>
      <c r="R19" s="3">
        <f>SUM(H60:H71)</f>
        <v>23423.788029108011</v>
      </c>
      <c r="S19" s="3">
        <f>SUM(H72:H73)</f>
        <v>4183.1624496705144</v>
      </c>
    </row>
    <row r="20" spans="2:19" x14ac:dyDescent="0.3">
      <c r="B20" s="2">
        <v>45974</v>
      </c>
      <c r="C20" s="3">
        <f t="shared" si="5"/>
        <v>88250.840376938213</v>
      </c>
      <c r="D20" s="3">
        <v>30.416699999999999</v>
      </c>
      <c r="E20" s="3">
        <f t="shared" si="0"/>
        <v>882.50937090187938</v>
      </c>
      <c r="F20" s="3">
        <v>0</v>
      </c>
      <c r="G20" s="3">
        <f t="shared" si="1"/>
        <v>2123.0100000000002</v>
      </c>
      <c r="H20" s="3">
        <f t="shared" si="2"/>
        <v>1240.500629098121</v>
      </c>
      <c r="I20" s="3">
        <f t="shared" si="3"/>
        <v>882.50937090187938</v>
      </c>
      <c r="J20" s="3">
        <v>0</v>
      </c>
      <c r="K20" s="3">
        <f t="shared" si="4"/>
        <v>87010.339747840088</v>
      </c>
      <c r="M20" t="s">
        <v>21</v>
      </c>
      <c r="N20" s="3">
        <f>SUM(H24:H71)</f>
        <v>79030.448558786127</v>
      </c>
      <c r="O20" s="3">
        <f>SUM(H36:H73)</f>
        <v>66842.147535063355</v>
      </c>
      <c r="P20" s="3">
        <f>SUM(H48:H73)</f>
        <v>48394.370311363564</v>
      </c>
      <c r="Q20" s="3">
        <f>SUM(H60:H73)</f>
        <v>27606.950478778526</v>
      </c>
      <c r="R20" s="3">
        <f>SUM(H72:H73)</f>
        <v>4183.1624496705144</v>
      </c>
    </row>
    <row r="21" spans="2:19" x14ac:dyDescent="0.3">
      <c r="B21" s="2">
        <v>46004</v>
      </c>
      <c r="C21" s="3">
        <f t="shared" si="5"/>
        <v>87010.339747840088</v>
      </c>
      <c r="D21" s="3">
        <v>30.416699999999999</v>
      </c>
      <c r="E21" s="3">
        <f t="shared" si="0"/>
        <v>870.10435101637063</v>
      </c>
      <c r="F21" s="3">
        <v>0</v>
      </c>
      <c r="G21" s="3">
        <f t="shared" si="1"/>
        <v>2123.0100000000002</v>
      </c>
      <c r="H21" s="3">
        <f t="shared" si="2"/>
        <v>1252.9056489836296</v>
      </c>
      <c r="I21" s="3">
        <f t="shared" si="3"/>
        <v>870.10435101637063</v>
      </c>
      <c r="J21" s="3">
        <v>0</v>
      </c>
      <c r="K21" s="3">
        <f t="shared" si="4"/>
        <v>85757.434098856451</v>
      </c>
      <c r="M21" t="s">
        <v>22</v>
      </c>
      <c r="N21" s="3">
        <f>SUM(H72:H73)</f>
        <v>4183.1624496705144</v>
      </c>
    </row>
    <row r="22" spans="2:19" x14ac:dyDescent="0.3">
      <c r="B22" s="2">
        <v>46035</v>
      </c>
      <c r="C22" s="3">
        <f t="shared" si="5"/>
        <v>85757.434098856451</v>
      </c>
      <c r="D22" s="3">
        <v>30.416699999999999</v>
      </c>
      <c r="E22" s="3">
        <f t="shared" si="0"/>
        <v>857.57528079606141</v>
      </c>
      <c r="F22" s="3">
        <v>0</v>
      </c>
      <c r="G22" s="3">
        <f t="shared" si="1"/>
        <v>2123.0100000000002</v>
      </c>
      <c r="H22" s="3">
        <f t="shared" si="2"/>
        <v>1265.4347192039388</v>
      </c>
      <c r="I22" s="3">
        <f t="shared" si="3"/>
        <v>857.57528079606141</v>
      </c>
      <c r="J22" s="3">
        <v>0</v>
      </c>
      <c r="K22" s="3">
        <f t="shared" si="4"/>
        <v>84491.999379652509</v>
      </c>
      <c r="M22" t="s">
        <v>27</v>
      </c>
      <c r="N22" s="3">
        <f t="shared" ref="N22:S22" si="8">SUM(N19,N20,N21)</f>
        <v>97742.451692651317</v>
      </c>
      <c r="O22" s="3">
        <f t="shared" si="8"/>
        <v>83213.611008456603</v>
      </c>
      <c r="P22" s="3">
        <f t="shared" si="8"/>
        <v>66842.147535063355</v>
      </c>
      <c r="Q22" s="3">
        <f t="shared" si="8"/>
        <v>48394.370311363578</v>
      </c>
      <c r="R22" s="3">
        <f t="shared" si="8"/>
        <v>27606.950478778526</v>
      </c>
      <c r="S22" s="3">
        <f t="shared" si="8"/>
        <v>4183.1624496705144</v>
      </c>
    </row>
    <row r="23" spans="2:19" x14ac:dyDescent="0.3">
      <c r="B23" s="2">
        <v>46066</v>
      </c>
      <c r="C23" s="3">
        <f t="shared" si="5"/>
        <v>84491.999379652509</v>
      </c>
      <c r="D23" s="3">
        <v>30.416699999999999</v>
      </c>
      <c r="E23" s="3">
        <f t="shared" si="0"/>
        <v>844.92091973624429</v>
      </c>
      <c r="F23" s="3">
        <v>0</v>
      </c>
      <c r="G23" s="3">
        <f t="shared" si="1"/>
        <v>2123.0100000000002</v>
      </c>
      <c r="H23" s="3">
        <f t="shared" si="2"/>
        <v>1278.0890802637559</v>
      </c>
      <c r="I23" s="3">
        <f t="shared" si="3"/>
        <v>844.92091973624429</v>
      </c>
      <c r="J23" s="3">
        <v>0</v>
      </c>
      <c r="K23" s="3">
        <f t="shared" si="4"/>
        <v>83213.91029938875</v>
      </c>
    </row>
    <row r="24" spans="2:19" x14ac:dyDescent="0.3">
      <c r="B24" s="2">
        <v>46094</v>
      </c>
      <c r="C24" s="3">
        <f t="shared" si="5"/>
        <v>83213.91029938875</v>
      </c>
      <c r="D24" s="3">
        <v>30.416699999999999</v>
      </c>
      <c r="E24" s="3">
        <f t="shared" si="0"/>
        <v>832.1400149271509</v>
      </c>
      <c r="F24" s="3">
        <v>0</v>
      </c>
      <c r="G24" s="3">
        <f t="shared" si="1"/>
        <v>2123.0100000000002</v>
      </c>
      <c r="H24" s="3">
        <f t="shared" si="2"/>
        <v>1290.8699850728494</v>
      </c>
      <c r="I24" s="3">
        <f t="shared" si="3"/>
        <v>832.1400149271509</v>
      </c>
      <c r="J24" s="3">
        <v>0</v>
      </c>
      <c r="K24" s="3">
        <f t="shared" si="4"/>
        <v>81923.040314315906</v>
      </c>
    </row>
    <row r="25" spans="2:19" x14ac:dyDescent="0.3">
      <c r="B25" s="2">
        <v>46125</v>
      </c>
      <c r="C25" s="3">
        <f t="shared" si="5"/>
        <v>81923.040314315906</v>
      </c>
      <c r="D25" s="3">
        <v>30.416699999999999</v>
      </c>
      <c r="E25" s="3">
        <f t="shared" si="0"/>
        <v>819.2313009299022</v>
      </c>
      <c r="F25" s="3">
        <v>0</v>
      </c>
      <c r="G25" s="3">
        <f t="shared" si="1"/>
        <v>2123.0100000000002</v>
      </c>
      <c r="H25" s="3">
        <f t="shared" si="2"/>
        <v>1303.7786990700979</v>
      </c>
      <c r="I25" s="3">
        <f t="shared" si="3"/>
        <v>819.2313009299022</v>
      </c>
      <c r="J25" s="3">
        <v>0</v>
      </c>
      <c r="K25" s="3">
        <f t="shared" si="4"/>
        <v>80619.261615245807</v>
      </c>
    </row>
    <row r="26" spans="2:19" x14ac:dyDescent="0.3">
      <c r="B26" s="2">
        <v>46155</v>
      </c>
      <c r="C26" s="3">
        <f t="shared" si="5"/>
        <v>80619.261615245807</v>
      </c>
      <c r="D26" s="3">
        <v>30.416699999999999</v>
      </c>
      <c r="E26" s="3">
        <f t="shared" si="0"/>
        <v>806.19349965121557</v>
      </c>
      <c r="F26" s="3">
        <v>0</v>
      </c>
      <c r="G26" s="3">
        <f t="shared" si="1"/>
        <v>2123.0100000000002</v>
      </c>
      <c r="H26" s="3">
        <f t="shared" si="2"/>
        <v>1316.8165003487848</v>
      </c>
      <c r="I26" s="3">
        <f t="shared" si="3"/>
        <v>806.19349965121557</v>
      </c>
      <c r="J26" s="3">
        <v>0</v>
      </c>
      <c r="K26" s="3">
        <f t="shared" si="4"/>
        <v>79302.445114897026</v>
      </c>
    </row>
    <row r="27" spans="2:19" x14ac:dyDescent="0.3">
      <c r="B27" s="2">
        <v>46186</v>
      </c>
      <c r="C27" s="3">
        <f t="shared" si="5"/>
        <v>79302.445114897026</v>
      </c>
      <c r="D27" s="3">
        <v>30.416699999999999</v>
      </c>
      <c r="E27" s="3">
        <f t="shared" si="0"/>
        <v>793.02532021686181</v>
      </c>
      <c r="F27" s="3">
        <v>0</v>
      </c>
      <c r="G27" s="3">
        <f t="shared" si="1"/>
        <v>2123.0100000000002</v>
      </c>
      <c r="H27" s="3">
        <f t="shared" si="2"/>
        <v>1329.9846797831383</v>
      </c>
      <c r="I27" s="3">
        <f t="shared" si="3"/>
        <v>793.02532021686181</v>
      </c>
      <c r="J27" s="3">
        <v>0</v>
      </c>
      <c r="K27" s="3">
        <f t="shared" si="4"/>
        <v>77972.460435113884</v>
      </c>
    </row>
    <row r="28" spans="2:19" x14ac:dyDescent="0.3">
      <c r="B28" s="2">
        <v>46216</v>
      </c>
      <c r="C28" s="3">
        <f t="shared" si="5"/>
        <v>77972.460435113884</v>
      </c>
      <c r="D28" s="3">
        <v>30.416699999999999</v>
      </c>
      <c r="E28" s="3">
        <f t="shared" si="0"/>
        <v>779.72545884385579</v>
      </c>
      <c r="F28" s="3">
        <v>0</v>
      </c>
      <c r="G28" s="3">
        <f t="shared" si="1"/>
        <v>2123.0100000000002</v>
      </c>
      <c r="H28" s="3">
        <f t="shared" si="2"/>
        <v>1343.2845411561443</v>
      </c>
      <c r="I28" s="3">
        <f t="shared" si="3"/>
        <v>779.72545884385579</v>
      </c>
      <c r="J28" s="3">
        <v>0</v>
      </c>
      <c r="K28" s="3">
        <f t="shared" si="4"/>
        <v>76629.175893957741</v>
      </c>
    </row>
    <row r="29" spans="2:19" x14ac:dyDescent="0.3">
      <c r="B29" s="2">
        <v>46247</v>
      </c>
      <c r="C29" s="3">
        <f t="shared" si="5"/>
        <v>76629.175893957741</v>
      </c>
      <c r="D29" s="3">
        <v>30.416699999999999</v>
      </c>
      <c r="E29" s="3">
        <f t="shared" si="0"/>
        <v>766.29259871136799</v>
      </c>
      <c r="F29" s="3">
        <v>0</v>
      </c>
      <c r="G29" s="3">
        <f t="shared" si="1"/>
        <v>2123.0100000000002</v>
      </c>
      <c r="H29" s="3">
        <f t="shared" si="2"/>
        <v>1356.7174012886321</v>
      </c>
      <c r="I29" s="3">
        <f t="shared" si="3"/>
        <v>766.29259871136799</v>
      </c>
      <c r="J29" s="3">
        <v>0</v>
      </c>
      <c r="K29" s="3">
        <f t="shared" si="4"/>
        <v>75272.458492669102</v>
      </c>
    </row>
    <row r="30" spans="2:19" x14ac:dyDescent="0.3">
      <c r="B30" s="2">
        <v>46278</v>
      </c>
      <c r="C30" s="3">
        <f t="shared" si="5"/>
        <v>75272.458492669102</v>
      </c>
      <c r="D30" s="3">
        <v>30.416699999999999</v>
      </c>
      <c r="E30" s="3">
        <f t="shared" si="0"/>
        <v>752.72540983034571</v>
      </c>
      <c r="F30" s="3">
        <v>0</v>
      </c>
      <c r="G30" s="3">
        <f t="shared" si="1"/>
        <v>2123.0100000000002</v>
      </c>
      <c r="H30" s="3">
        <f t="shared" si="2"/>
        <v>1370.2845901696546</v>
      </c>
      <c r="I30" s="3">
        <f t="shared" si="3"/>
        <v>752.72540983034571</v>
      </c>
      <c r="J30" s="3">
        <v>0</v>
      </c>
      <c r="K30" s="3">
        <f t="shared" si="4"/>
        <v>73902.173902499446</v>
      </c>
    </row>
    <row r="31" spans="2:19" x14ac:dyDescent="0.3">
      <c r="B31" s="2">
        <v>46308</v>
      </c>
      <c r="C31" s="3">
        <f t="shared" si="5"/>
        <v>73902.173902499446</v>
      </c>
      <c r="D31" s="3">
        <v>30.416699999999999</v>
      </c>
      <c r="E31" s="3">
        <f t="shared" si="0"/>
        <v>739.02254891183168</v>
      </c>
      <c r="F31" s="3">
        <v>0</v>
      </c>
      <c r="G31" s="3">
        <f t="shared" si="1"/>
        <v>2123.0100000000002</v>
      </c>
      <c r="H31" s="3">
        <f t="shared" si="2"/>
        <v>1383.9874510881687</v>
      </c>
      <c r="I31" s="3">
        <f t="shared" si="3"/>
        <v>739.02254891183168</v>
      </c>
      <c r="J31" s="3">
        <v>0</v>
      </c>
      <c r="K31" s="3">
        <f t="shared" si="4"/>
        <v>72518.186451411282</v>
      </c>
    </row>
    <row r="32" spans="2:19" x14ac:dyDescent="0.3">
      <c r="B32" s="2">
        <v>46339</v>
      </c>
      <c r="C32" s="3">
        <f t="shared" si="5"/>
        <v>72518.186451411282</v>
      </c>
      <c r="D32" s="3">
        <v>30.416699999999999</v>
      </c>
      <c r="E32" s="3">
        <f t="shared" si="0"/>
        <v>725.18265923396427</v>
      </c>
      <c r="F32" s="3">
        <v>0</v>
      </c>
      <c r="G32" s="3">
        <f t="shared" si="1"/>
        <v>2123.0100000000002</v>
      </c>
      <c r="H32" s="3">
        <f t="shared" si="2"/>
        <v>1397.8273407660358</v>
      </c>
      <c r="I32" s="3">
        <f t="shared" si="3"/>
        <v>725.18265923396427</v>
      </c>
      <c r="J32" s="3">
        <v>0</v>
      </c>
      <c r="K32" s="3">
        <f t="shared" si="4"/>
        <v>71120.359110645251</v>
      </c>
    </row>
    <row r="33" spans="2:11" x14ac:dyDescent="0.3">
      <c r="B33" s="2">
        <v>46369</v>
      </c>
      <c r="C33" s="3">
        <f t="shared" si="5"/>
        <v>71120.359110645251</v>
      </c>
      <c r="D33" s="3">
        <v>30.416699999999999</v>
      </c>
      <c r="E33" s="3">
        <f t="shared" si="0"/>
        <v>711.20437050764826</v>
      </c>
      <c r="F33" s="3">
        <v>0</v>
      </c>
      <c r="G33" s="3">
        <f t="shared" si="1"/>
        <v>2123.0100000000002</v>
      </c>
      <c r="H33" s="3">
        <f t="shared" si="2"/>
        <v>1411.805629492352</v>
      </c>
      <c r="I33" s="3">
        <f t="shared" si="3"/>
        <v>711.20437050764826</v>
      </c>
      <c r="J33" s="3">
        <v>0</v>
      </c>
      <c r="K33" s="3">
        <f t="shared" si="4"/>
        <v>69708.553481152892</v>
      </c>
    </row>
    <row r="34" spans="2:11" x14ac:dyDescent="0.3">
      <c r="B34" s="2">
        <v>46400</v>
      </c>
      <c r="C34" s="3">
        <f t="shared" si="5"/>
        <v>69708.553481152892</v>
      </c>
      <c r="D34" s="3">
        <v>30.416699999999999</v>
      </c>
      <c r="E34" s="3">
        <f t="shared" si="0"/>
        <v>697.08629874088206</v>
      </c>
      <c r="F34" s="3">
        <v>0</v>
      </c>
      <c r="G34" s="3">
        <f t="shared" si="1"/>
        <v>2123.0100000000002</v>
      </c>
      <c r="H34" s="3">
        <f t="shared" si="2"/>
        <v>1425.9237012591182</v>
      </c>
      <c r="I34" s="3">
        <f t="shared" si="3"/>
        <v>697.08629874088206</v>
      </c>
      <c r="J34" s="3">
        <v>0</v>
      </c>
      <c r="K34" s="3">
        <f t="shared" si="4"/>
        <v>68282.629779893774</v>
      </c>
    </row>
    <row r="35" spans="2:11" x14ac:dyDescent="0.3">
      <c r="B35" s="2">
        <v>46431</v>
      </c>
      <c r="C35" s="3">
        <f t="shared" si="5"/>
        <v>68282.629779893774</v>
      </c>
      <c r="D35" s="3">
        <v>30.416699999999999</v>
      </c>
      <c r="E35" s="3">
        <f t="shared" si="0"/>
        <v>682.82704610172971</v>
      </c>
      <c r="F35" s="3">
        <v>0</v>
      </c>
      <c r="G35" s="3">
        <f t="shared" si="1"/>
        <v>2123.0100000000002</v>
      </c>
      <c r="H35" s="3">
        <f t="shared" si="2"/>
        <v>1440.1829538982706</v>
      </c>
      <c r="I35" s="3">
        <f t="shared" si="3"/>
        <v>682.82704610172971</v>
      </c>
      <c r="J35" s="3">
        <v>0</v>
      </c>
      <c r="K35" s="3">
        <f t="shared" si="4"/>
        <v>66842.446825995503</v>
      </c>
    </row>
    <row r="36" spans="2:11" x14ac:dyDescent="0.3">
      <c r="B36" s="2">
        <v>46459</v>
      </c>
      <c r="C36" s="3">
        <f t="shared" si="5"/>
        <v>66842.446825995503</v>
      </c>
      <c r="D36" s="3">
        <v>30.416699999999999</v>
      </c>
      <c r="E36" s="3">
        <f t="shared" si="0"/>
        <v>668.42520077992015</v>
      </c>
      <c r="F36" s="3">
        <v>0</v>
      </c>
      <c r="G36" s="3">
        <f t="shared" si="1"/>
        <v>2123.0100000000002</v>
      </c>
      <c r="H36" s="3">
        <f t="shared" si="2"/>
        <v>1454.5847992200802</v>
      </c>
      <c r="I36" s="3">
        <f t="shared" si="3"/>
        <v>668.42520077992015</v>
      </c>
      <c r="J36" s="3">
        <v>0</v>
      </c>
      <c r="K36" s="3">
        <f t="shared" si="4"/>
        <v>65387.862026775423</v>
      </c>
    </row>
    <row r="37" spans="2:11" x14ac:dyDescent="0.3">
      <c r="B37" s="2">
        <v>46490</v>
      </c>
      <c r="C37" s="3">
        <f t="shared" si="5"/>
        <v>65387.862026775423</v>
      </c>
      <c r="D37" s="3">
        <v>30.416699999999999</v>
      </c>
      <c r="E37" s="3">
        <f t="shared" si="0"/>
        <v>653.87933684706411</v>
      </c>
      <c r="F37" s="3">
        <v>0</v>
      </c>
      <c r="G37" s="3">
        <f t="shared" si="1"/>
        <v>2123.0100000000002</v>
      </c>
      <c r="H37" s="3">
        <f t="shared" si="2"/>
        <v>1469.130663152936</v>
      </c>
      <c r="I37" s="3">
        <f t="shared" si="3"/>
        <v>653.87933684706411</v>
      </c>
      <c r="J37" s="3">
        <v>0</v>
      </c>
      <c r="K37" s="3">
        <f t="shared" si="4"/>
        <v>63918.731363622486</v>
      </c>
    </row>
    <row r="38" spans="2:11" x14ac:dyDescent="0.3">
      <c r="B38" s="2">
        <v>46520</v>
      </c>
      <c r="C38" s="3">
        <f t="shared" si="5"/>
        <v>63918.731363622486</v>
      </c>
      <c r="D38" s="3">
        <v>30.416699999999999</v>
      </c>
      <c r="E38" s="3">
        <f t="shared" si="0"/>
        <v>639.1880141154727</v>
      </c>
      <c r="F38" s="3">
        <v>0</v>
      </c>
      <c r="G38" s="3">
        <f t="shared" si="1"/>
        <v>2123.0100000000002</v>
      </c>
      <c r="H38" s="3">
        <f t="shared" si="2"/>
        <v>1483.8219858845275</v>
      </c>
      <c r="I38" s="3">
        <f t="shared" si="3"/>
        <v>639.1880141154727</v>
      </c>
      <c r="J38" s="3">
        <v>0</v>
      </c>
      <c r="K38" s="3">
        <f t="shared" si="4"/>
        <v>62434.90937773796</v>
      </c>
    </row>
    <row r="39" spans="2:11" x14ac:dyDescent="0.3">
      <c r="B39" s="2">
        <v>46551</v>
      </c>
      <c r="C39" s="3">
        <f t="shared" si="5"/>
        <v>62434.90937773796</v>
      </c>
      <c r="D39" s="3">
        <v>30.416699999999999</v>
      </c>
      <c r="E39" s="3">
        <f t="shared" si="0"/>
        <v>624.34977799556452</v>
      </c>
      <c r="F39" s="3">
        <v>0</v>
      </c>
      <c r="G39" s="3">
        <f t="shared" si="1"/>
        <v>2123.0100000000002</v>
      </c>
      <c r="H39" s="3">
        <f t="shared" si="2"/>
        <v>1498.6602220044356</v>
      </c>
      <c r="I39" s="3">
        <f t="shared" si="3"/>
        <v>624.34977799556452</v>
      </c>
      <c r="J39" s="3">
        <v>0</v>
      </c>
      <c r="K39" s="3">
        <f t="shared" si="4"/>
        <v>60936.249155733523</v>
      </c>
    </row>
    <row r="40" spans="2:11" x14ac:dyDescent="0.3">
      <c r="B40" s="2">
        <v>46581</v>
      </c>
      <c r="C40" s="3">
        <f t="shared" si="5"/>
        <v>60936.249155733523</v>
      </c>
      <c r="D40" s="3">
        <v>30.416699999999999</v>
      </c>
      <c r="E40" s="3">
        <f t="shared" si="0"/>
        <v>609.36315935184643</v>
      </c>
      <c r="F40" s="3">
        <v>0</v>
      </c>
      <c r="G40" s="3">
        <f t="shared" si="1"/>
        <v>2123.0100000000002</v>
      </c>
      <c r="H40" s="3">
        <f t="shared" si="2"/>
        <v>1513.6468406481538</v>
      </c>
      <c r="I40" s="3">
        <f t="shared" si="3"/>
        <v>609.36315935184643</v>
      </c>
      <c r="J40" s="3">
        <v>0</v>
      </c>
      <c r="K40" s="3">
        <f t="shared" si="4"/>
        <v>59422.602315085373</v>
      </c>
    </row>
    <row r="41" spans="2:11" x14ac:dyDescent="0.3">
      <c r="B41" s="2">
        <v>46612</v>
      </c>
      <c r="C41" s="3">
        <f t="shared" si="5"/>
        <v>59422.602315085373</v>
      </c>
      <c r="D41" s="3">
        <v>30.416699999999999</v>
      </c>
      <c r="E41" s="3">
        <f t="shared" si="0"/>
        <v>594.22667435745439</v>
      </c>
      <c r="F41" s="3">
        <v>0</v>
      </c>
      <c r="G41" s="3">
        <f t="shared" si="1"/>
        <v>2123.0100000000002</v>
      </c>
      <c r="H41" s="3">
        <f t="shared" si="2"/>
        <v>1528.7833256425458</v>
      </c>
      <c r="I41" s="3">
        <f t="shared" si="3"/>
        <v>594.22667435745439</v>
      </c>
      <c r="J41" s="3">
        <v>0</v>
      </c>
      <c r="K41" s="3">
        <f t="shared" si="4"/>
        <v>57893.818989442829</v>
      </c>
    </row>
    <row r="42" spans="2:11" x14ac:dyDescent="0.3">
      <c r="B42" s="2">
        <v>46643</v>
      </c>
      <c r="C42" s="3">
        <f t="shared" si="5"/>
        <v>57893.818989442829</v>
      </c>
      <c r="D42" s="3">
        <v>30.416699999999999</v>
      </c>
      <c r="E42" s="3">
        <f t="shared" ref="E42:E73" si="9">C42*$C$3*D42/365</f>
        <v>578.93882434723912</v>
      </c>
      <c r="F42" s="3">
        <v>0</v>
      </c>
      <c r="G42" s="3">
        <f t="shared" ref="G42:G73" si="10">$C$5</f>
        <v>2123.0100000000002</v>
      </c>
      <c r="H42" s="3">
        <f t="shared" ref="H42:H73" si="11">G42-E42</f>
        <v>1544.0711756527612</v>
      </c>
      <c r="I42" s="3">
        <f t="shared" ref="I42:I73" si="12">E42</f>
        <v>578.93882434723912</v>
      </c>
      <c r="J42" s="3">
        <v>0</v>
      </c>
      <c r="K42" s="3">
        <f t="shared" ref="K42:K73" si="13">C42 - H42</f>
        <v>56349.747813790069</v>
      </c>
    </row>
    <row r="43" spans="2:11" x14ac:dyDescent="0.3">
      <c r="B43" s="2">
        <v>46673</v>
      </c>
      <c r="C43" s="3">
        <f t="shared" ref="C43:C73" si="14">K42</f>
        <v>56349.747813790069</v>
      </c>
      <c r="D43" s="3">
        <v>30.416699999999999</v>
      </c>
      <c r="E43" s="3">
        <f t="shared" si="9"/>
        <v>563.49809566938359</v>
      </c>
      <c r="F43" s="3">
        <v>0</v>
      </c>
      <c r="G43" s="3">
        <f t="shared" si="10"/>
        <v>2123.0100000000002</v>
      </c>
      <c r="H43" s="3">
        <f t="shared" si="11"/>
        <v>1559.5119043306167</v>
      </c>
      <c r="I43" s="3">
        <f t="shared" si="12"/>
        <v>563.49809566938359</v>
      </c>
      <c r="J43" s="3">
        <v>0</v>
      </c>
      <c r="K43" s="3">
        <f t="shared" si="13"/>
        <v>54790.23590945945</v>
      </c>
    </row>
    <row r="44" spans="2:11" x14ac:dyDescent="0.3">
      <c r="B44" s="2">
        <v>46704</v>
      </c>
      <c r="C44" s="3">
        <f t="shared" si="14"/>
        <v>54790.23590945945</v>
      </c>
      <c r="D44" s="3">
        <v>30.416699999999999</v>
      </c>
      <c r="E44" s="3">
        <f t="shared" si="9"/>
        <v>547.90295953553596</v>
      </c>
      <c r="F44" s="3">
        <v>0</v>
      </c>
      <c r="G44" s="3">
        <f t="shared" si="10"/>
        <v>2123.0100000000002</v>
      </c>
      <c r="H44" s="3">
        <f t="shared" si="11"/>
        <v>1575.1070404644643</v>
      </c>
      <c r="I44" s="3">
        <f t="shared" si="12"/>
        <v>547.90295953553596</v>
      </c>
      <c r="J44" s="3">
        <v>0</v>
      </c>
      <c r="K44" s="3">
        <f t="shared" si="13"/>
        <v>53215.128868994987</v>
      </c>
    </row>
    <row r="45" spans="2:11" x14ac:dyDescent="0.3">
      <c r="B45" s="2">
        <v>46734</v>
      </c>
      <c r="C45" s="3">
        <f t="shared" si="14"/>
        <v>53215.128868994987</v>
      </c>
      <c r="D45" s="3">
        <v>30.416699999999999</v>
      </c>
      <c r="E45" s="3">
        <f t="shared" si="9"/>
        <v>532.15187186944422</v>
      </c>
      <c r="F45" s="3">
        <v>0</v>
      </c>
      <c r="G45" s="3">
        <f t="shared" si="10"/>
        <v>2123.0100000000002</v>
      </c>
      <c r="H45" s="3">
        <f t="shared" si="11"/>
        <v>1590.858128130556</v>
      </c>
      <c r="I45" s="3">
        <f t="shared" si="12"/>
        <v>532.15187186944422</v>
      </c>
      <c r="J45" s="3">
        <v>0</v>
      </c>
      <c r="K45" s="3">
        <f t="shared" si="13"/>
        <v>51624.270740864435</v>
      </c>
    </row>
    <row r="46" spans="2:11" x14ac:dyDescent="0.3">
      <c r="B46" s="2">
        <v>46765</v>
      </c>
      <c r="C46" s="3">
        <f t="shared" si="14"/>
        <v>51624.270740864435</v>
      </c>
      <c r="D46" s="3">
        <v>30.416699999999999</v>
      </c>
      <c r="E46" s="3">
        <f t="shared" si="9"/>
        <v>516.24327315407709</v>
      </c>
      <c r="F46" s="3">
        <v>0</v>
      </c>
      <c r="G46" s="3">
        <f t="shared" si="10"/>
        <v>2123.0100000000002</v>
      </c>
      <c r="H46" s="3">
        <f t="shared" si="11"/>
        <v>1606.7667268459231</v>
      </c>
      <c r="I46" s="3">
        <f t="shared" si="12"/>
        <v>516.24327315407709</v>
      </c>
      <c r="J46" s="3">
        <v>0</v>
      </c>
      <c r="K46" s="3">
        <f t="shared" si="13"/>
        <v>50017.504014018508</v>
      </c>
    </row>
    <row r="47" spans="2:11" x14ac:dyDescent="0.3">
      <c r="B47" s="2">
        <v>46796</v>
      </c>
      <c r="C47" s="3">
        <f t="shared" si="14"/>
        <v>50017.504014018508</v>
      </c>
      <c r="D47" s="3">
        <v>30.416699999999999</v>
      </c>
      <c r="E47" s="3">
        <f t="shared" si="9"/>
        <v>500.1755882772153</v>
      </c>
      <c r="F47" s="3">
        <v>0</v>
      </c>
      <c r="G47" s="3">
        <f t="shared" si="10"/>
        <v>2123.0100000000002</v>
      </c>
      <c r="H47" s="3">
        <f t="shared" si="11"/>
        <v>1622.8344117227848</v>
      </c>
      <c r="I47" s="3">
        <f t="shared" si="12"/>
        <v>500.1755882772153</v>
      </c>
      <c r="J47" s="3">
        <v>0</v>
      </c>
      <c r="K47" s="3">
        <f t="shared" si="13"/>
        <v>48394.669602295726</v>
      </c>
    </row>
    <row r="48" spans="2:11" x14ac:dyDescent="0.3">
      <c r="B48" s="2">
        <v>46825</v>
      </c>
      <c r="C48" s="3">
        <f t="shared" si="14"/>
        <v>48394.669602295726</v>
      </c>
      <c r="D48" s="3">
        <v>30.416699999999999</v>
      </c>
      <c r="E48" s="3">
        <f t="shared" si="9"/>
        <v>483.9472263755008</v>
      </c>
      <c r="F48" s="3">
        <v>0</v>
      </c>
      <c r="G48" s="3">
        <f t="shared" si="10"/>
        <v>2123.0100000000002</v>
      </c>
      <c r="H48" s="3">
        <f t="shared" si="11"/>
        <v>1639.0627736244994</v>
      </c>
      <c r="I48" s="3">
        <f t="shared" si="12"/>
        <v>483.9472263755008</v>
      </c>
      <c r="J48" s="3">
        <v>0</v>
      </c>
      <c r="K48" s="3">
        <f t="shared" si="13"/>
        <v>46755.606828671225</v>
      </c>
    </row>
    <row r="49" spans="2:11" x14ac:dyDescent="0.3">
      <c r="B49" s="2">
        <v>46856</v>
      </c>
      <c r="C49" s="3">
        <f t="shared" si="14"/>
        <v>46755.606828671225</v>
      </c>
      <c r="D49" s="3">
        <v>30.416699999999999</v>
      </c>
      <c r="E49" s="3">
        <f t="shared" si="9"/>
        <v>467.55658067692406</v>
      </c>
      <c r="F49" s="3">
        <v>0</v>
      </c>
      <c r="G49" s="3">
        <f t="shared" si="10"/>
        <v>2123.0100000000002</v>
      </c>
      <c r="H49" s="3">
        <f t="shared" si="11"/>
        <v>1655.4534193230761</v>
      </c>
      <c r="I49" s="3">
        <f t="shared" si="12"/>
        <v>467.55658067692406</v>
      </c>
      <c r="J49" s="3">
        <v>0</v>
      </c>
      <c r="K49" s="3">
        <f t="shared" si="13"/>
        <v>45100.153409348146</v>
      </c>
    </row>
    <row r="50" spans="2:11" x14ac:dyDescent="0.3">
      <c r="B50" s="2">
        <v>46886</v>
      </c>
      <c r="C50" s="3">
        <f t="shared" si="14"/>
        <v>45100.153409348146</v>
      </c>
      <c r="D50" s="3">
        <v>30.416699999999999</v>
      </c>
      <c r="E50" s="3">
        <f t="shared" si="9"/>
        <v>451.00202834173791</v>
      </c>
      <c r="F50" s="3">
        <v>0</v>
      </c>
      <c r="G50" s="3">
        <f t="shared" si="10"/>
        <v>2123.0100000000002</v>
      </c>
      <c r="H50" s="3">
        <f t="shared" si="11"/>
        <v>1672.0079716582622</v>
      </c>
      <c r="I50" s="3">
        <f t="shared" si="12"/>
        <v>451.00202834173791</v>
      </c>
      <c r="J50" s="3">
        <v>0</v>
      </c>
      <c r="K50" s="3">
        <f t="shared" si="13"/>
        <v>43428.145437689884</v>
      </c>
    </row>
    <row r="51" spans="2:11" x14ac:dyDescent="0.3">
      <c r="B51" s="2">
        <v>46917</v>
      </c>
      <c r="C51" s="3">
        <f t="shared" si="14"/>
        <v>43428.145437689884</v>
      </c>
      <c r="D51" s="3">
        <v>30.416699999999999</v>
      </c>
      <c r="E51" s="3">
        <f t="shared" si="9"/>
        <v>434.28193030178028</v>
      </c>
      <c r="F51" s="3">
        <v>0</v>
      </c>
      <c r="G51" s="3">
        <f t="shared" si="10"/>
        <v>2123.0100000000002</v>
      </c>
      <c r="H51" s="3">
        <f t="shared" si="11"/>
        <v>1688.72806969822</v>
      </c>
      <c r="I51" s="3">
        <f t="shared" si="12"/>
        <v>434.28193030178028</v>
      </c>
      <c r="J51" s="3">
        <v>0</v>
      </c>
      <c r="K51" s="3">
        <f t="shared" si="13"/>
        <v>41739.417367991664</v>
      </c>
    </row>
    <row r="52" spans="2:11" x14ac:dyDescent="0.3">
      <c r="B52" s="2">
        <v>46947</v>
      </c>
      <c r="C52" s="3">
        <f t="shared" si="14"/>
        <v>41739.417367991664</v>
      </c>
      <c r="D52" s="3">
        <v>30.416699999999999</v>
      </c>
      <c r="E52" s="3">
        <f t="shared" si="9"/>
        <v>417.39463109818911</v>
      </c>
      <c r="F52" s="3">
        <v>0</v>
      </c>
      <c r="G52" s="3">
        <f t="shared" si="10"/>
        <v>2123.0100000000002</v>
      </c>
      <c r="H52" s="3">
        <f t="shared" si="11"/>
        <v>1705.6153689018111</v>
      </c>
      <c r="I52" s="3">
        <f t="shared" si="12"/>
        <v>417.39463109818911</v>
      </c>
      <c r="J52" s="3">
        <v>0</v>
      </c>
      <c r="K52" s="3">
        <f t="shared" si="13"/>
        <v>40033.801999089854</v>
      </c>
    </row>
    <row r="53" spans="2:11" x14ac:dyDescent="0.3">
      <c r="B53" s="2">
        <v>46978</v>
      </c>
      <c r="C53" s="3">
        <f t="shared" si="14"/>
        <v>40033.801999089854</v>
      </c>
      <c r="D53" s="3">
        <v>30.416699999999999</v>
      </c>
      <c r="E53" s="3">
        <f t="shared" si="9"/>
        <v>400.33845871749577</v>
      </c>
      <c r="F53" s="3">
        <v>0</v>
      </c>
      <c r="G53" s="3">
        <f t="shared" si="10"/>
        <v>2123.0100000000002</v>
      </c>
      <c r="H53" s="3">
        <f t="shared" si="11"/>
        <v>1722.6715412825044</v>
      </c>
      <c r="I53" s="3">
        <f t="shared" si="12"/>
        <v>400.33845871749577</v>
      </c>
      <c r="J53" s="3">
        <v>0</v>
      </c>
      <c r="K53" s="3">
        <f t="shared" si="13"/>
        <v>38311.130457807347</v>
      </c>
    </row>
    <row r="54" spans="2:11" x14ac:dyDescent="0.3">
      <c r="B54" s="2">
        <v>47009</v>
      </c>
      <c r="C54" s="3">
        <f t="shared" si="14"/>
        <v>38311.130457807347</v>
      </c>
      <c r="D54" s="3">
        <v>30.416699999999999</v>
      </c>
      <c r="E54" s="3">
        <f t="shared" si="9"/>
        <v>383.11172442607852</v>
      </c>
      <c r="F54" s="3">
        <v>0</v>
      </c>
      <c r="G54" s="3">
        <f t="shared" si="10"/>
        <v>2123.0100000000002</v>
      </c>
      <c r="H54" s="3">
        <f t="shared" si="11"/>
        <v>1739.8982755739216</v>
      </c>
      <c r="I54" s="3">
        <f t="shared" si="12"/>
        <v>383.11172442607852</v>
      </c>
      <c r="J54" s="3">
        <v>0</v>
      </c>
      <c r="K54" s="3">
        <f t="shared" si="13"/>
        <v>36571.232182233427</v>
      </c>
    </row>
    <row r="55" spans="2:11" x14ac:dyDescent="0.3">
      <c r="B55" s="2">
        <v>47039</v>
      </c>
      <c r="C55" s="3">
        <f t="shared" si="14"/>
        <v>36571.232182233427</v>
      </c>
      <c r="D55" s="3">
        <v>30.416699999999999</v>
      </c>
      <c r="E55" s="3">
        <f t="shared" si="9"/>
        <v>365.71272260296087</v>
      </c>
      <c r="F55" s="3">
        <v>0</v>
      </c>
      <c r="G55" s="3">
        <f t="shared" si="10"/>
        <v>2123.0100000000002</v>
      </c>
      <c r="H55" s="3">
        <f t="shared" si="11"/>
        <v>1757.2972773970394</v>
      </c>
      <c r="I55" s="3">
        <f t="shared" si="12"/>
        <v>365.71272260296087</v>
      </c>
      <c r="J55" s="3">
        <v>0</v>
      </c>
      <c r="K55" s="3">
        <f t="shared" si="13"/>
        <v>34813.934904836387</v>
      </c>
    </row>
    <row r="56" spans="2:11" x14ac:dyDescent="0.3">
      <c r="B56" s="2">
        <v>47070</v>
      </c>
      <c r="C56" s="3">
        <f t="shared" si="14"/>
        <v>34813.934904836387</v>
      </c>
      <c r="D56" s="3">
        <v>30.416699999999999</v>
      </c>
      <c r="E56" s="3">
        <f t="shared" si="9"/>
        <v>348.13973057093818</v>
      </c>
      <c r="F56" s="3">
        <v>0</v>
      </c>
      <c r="G56" s="3">
        <f t="shared" si="10"/>
        <v>2123.0100000000002</v>
      </c>
      <c r="H56" s="3">
        <f t="shared" si="11"/>
        <v>1774.8702694290621</v>
      </c>
      <c r="I56" s="3">
        <f t="shared" si="12"/>
        <v>348.13973057093818</v>
      </c>
      <c r="J56" s="3">
        <v>0</v>
      </c>
      <c r="K56" s="3">
        <f t="shared" si="13"/>
        <v>33039.064635407325</v>
      </c>
    </row>
    <row r="57" spans="2:11" x14ac:dyDescent="0.3">
      <c r="B57" s="2">
        <v>47100</v>
      </c>
      <c r="C57" s="3">
        <f t="shared" si="14"/>
        <v>33039.064635407325</v>
      </c>
      <c r="D57" s="3">
        <v>30.416699999999999</v>
      </c>
      <c r="E57" s="3">
        <f t="shared" si="9"/>
        <v>330.39100842601442</v>
      </c>
      <c r="F57" s="3">
        <v>0</v>
      </c>
      <c r="G57" s="3">
        <f t="shared" si="10"/>
        <v>2123.0100000000002</v>
      </c>
      <c r="H57" s="3">
        <f t="shared" si="11"/>
        <v>1792.6189915739858</v>
      </c>
      <c r="I57" s="3">
        <f t="shared" si="12"/>
        <v>330.39100842601442</v>
      </c>
      <c r="J57" s="3">
        <v>0</v>
      </c>
      <c r="K57" s="3">
        <f t="shared" si="13"/>
        <v>31246.44564383334</v>
      </c>
    </row>
    <row r="58" spans="2:11" x14ac:dyDescent="0.3">
      <c r="B58" s="2">
        <v>47131</v>
      </c>
      <c r="C58" s="3">
        <f t="shared" si="14"/>
        <v>31246.44564383334</v>
      </c>
      <c r="D58" s="3">
        <v>30.416699999999999</v>
      </c>
      <c r="E58" s="3">
        <f t="shared" si="9"/>
        <v>312.46479886513498</v>
      </c>
      <c r="F58" s="3">
        <v>0</v>
      </c>
      <c r="G58" s="3">
        <f t="shared" si="10"/>
        <v>2123.0100000000002</v>
      </c>
      <c r="H58" s="3">
        <f t="shared" si="11"/>
        <v>1810.5452011348652</v>
      </c>
      <c r="I58" s="3">
        <f t="shared" si="12"/>
        <v>312.46479886513498</v>
      </c>
      <c r="J58" s="3">
        <v>0</v>
      </c>
      <c r="K58" s="3">
        <f t="shared" si="13"/>
        <v>29435.900442698476</v>
      </c>
    </row>
    <row r="59" spans="2:11" x14ac:dyDescent="0.3">
      <c r="B59" s="2">
        <v>47162</v>
      </c>
      <c r="C59" s="3">
        <f t="shared" si="14"/>
        <v>29435.900442698476</v>
      </c>
      <c r="D59" s="3">
        <v>30.416699999999999</v>
      </c>
      <c r="E59" s="3">
        <f t="shared" si="9"/>
        <v>294.35932701219508</v>
      </c>
      <c r="F59" s="3">
        <v>0</v>
      </c>
      <c r="G59" s="3">
        <f t="shared" si="10"/>
        <v>2123.0100000000002</v>
      </c>
      <c r="H59" s="3">
        <f t="shared" si="11"/>
        <v>1828.6506729878051</v>
      </c>
      <c r="I59" s="3">
        <f t="shared" si="12"/>
        <v>294.35932701219508</v>
      </c>
      <c r="J59" s="3">
        <v>0</v>
      </c>
      <c r="K59" s="3">
        <f t="shared" si="13"/>
        <v>27607.24976971067</v>
      </c>
    </row>
    <row r="60" spans="2:11" x14ac:dyDescent="0.3">
      <c r="B60" s="2">
        <v>47190</v>
      </c>
      <c r="C60" s="3">
        <f t="shared" si="14"/>
        <v>27607.24976971067</v>
      </c>
      <c r="D60" s="3">
        <v>30.416699999999999</v>
      </c>
      <c r="E60" s="3">
        <f t="shared" si="9"/>
        <v>276.07280024230965</v>
      </c>
      <c r="F60" s="3">
        <v>0</v>
      </c>
      <c r="G60" s="3">
        <f t="shared" si="10"/>
        <v>2123.0100000000002</v>
      </c>
      <c r="H60" s="3">
        <f t="shared" si="11"/>
        <v>1846.9371997576905</v>
      </c>
      <c r="I60" s="3">
        <f t="shared" si="12"/>
        <v>276.07280024230965</v>
      </c>
      <c r="J60" s="3">
        <v>0</v>
      </c>
      <c r="K60" s="3">
        <f t="shared" si="13"/>
        <v>25760.312569952981</v>
      </c>
    </row>
    <row r="61" spans="2:11" x14ac:dyDescent="0.3">
      <c r="B61" s="2">
        <v>47221</v>
      </c>
      <c r="C61" s="3">
        <f t="shared" si="14"/>
        <v>25760.312569952981</v>
      </c>
      <c r="D61" s="3">
        <v>30.416699999999999</v>
      </c>
      <c r="E61" s="3">
        <f t="shared" si="9"/>
        <v>257.60340800432505</v>
      </c>
      <c r="F61" s="3">
        <v>0</v>
      </c>
      <c r="G61" s="3">
        <f t="shared" si="10"/>
        <v>2123.0100000000002</v>
      </c>
      <c r="H61" s="3">
        <f t="shared" si="11"/>
        <v>1865.4065919956752</v>
      </c>
      <c r="I61" s="3">
        <f t="shared" si="12"/>
        <v>257.60340800432505</v>
      </c>
      <c r="J61" s="3">
        <v>0</v>
      </c>
      <c r="K61" s="3">
        <f t="shared" si="13"/>
        <v>23894.905977957307</v>
      </c>
    </row>
    <row r="62" spans="2:11" x14ac:dyDescent="0.3">
      <c r="B62" s="2">
        <v>47251</v>
      </c>
      <c r="C62" s="3">
        <f t="shared" si="14"/>
        <v>23894.905977957307</v>
      </c>
      <c r="D62" s="3">
        <v>30.416699999999999</v>
      </c>
      <c r="E62" s="3">
        <f t="shared" si="9"/>
        <v>238.94932164155639</v>
      </c>
      <c r="F62" s="3">
        <v>0</v>
      </c>
      <c r="G62" s="3">
        <f t="shared" si="10"/>
        <v>2123.0100000000002</v>
      </c>
      <c r="H62" s="3">
        <f t="shared" si="11"/>
        <v>1884.0606783584437</v>
      </c>
      <c r="I62" s="3">
        <f t="shared" si="12"/>
        <v>238.94932164155639</v>
      </c>
      <c r="J62" s="3">
        <v>0</v>
      </c>
      <c r="K62" s="3">
        <f t="shared" si="13"/>
        <v>22010.845299598863</v>
      </c>
    </row>
    <row r="63" spans="2:11" x14ac:dyDescent="0.3">
      <c r="B63" s="2">
        <v>47282</v>
      </c>
      <c r="C63" s="3">
        <f t="shared" si="14"/>
        <v>22010.845299598863</v>
      </c>
      <c r="D63" s="3">
        <v>30.416699999999999</v>
      </c>
      <c r="E63" s="3">
        <f t="shared" si="9"/>
        <v>220.10869421073161</v>
      </c>
      <c r="F63" s="3">
        <v>0</v>
      </c>
      <c r="G63" s="3">
        <f t="shared" si="10"/>
        <v>2123.0100000000002</v>
      </c>
      <c r="H63" s="3">
        <f t="shared" si="11"/>
        <v>1902.9013057892687</v>
      </c>
      <c r="I63" s="3">
        <f t="shared" si="12"/>
        <v>220.10869421073161</v>
      </c>
      <c r="J63" s="3">
        <v>0</v>
      </c>
      <c r="K63" s="3">
        <f t="shared" si="13"/>
        <v>20107.943993809593</v>
      </c>
    </row>
    <row r="64" spans="2:11" x14ac:dyDescent="0.3">
      <c r="B64" s="2">
        <v>47312</v>
      </c>
      <c r="C64" s="3">
        <f t="shared" si="14"/>
        <v>20107.943993809593</v>
      </c>
      <c r="D64" s="3">
        <v>30.416699999999999</v>
      </c>
      <c r="E64" s="3">
        <f t="shared" si="9"/>
        <v>201.079660299126</v>
      </c>
      <c r="F64" s="3">
        <v>0</v>
      </c>
      <c r="G64" s="3">
        <f t="shared" si="10"/>
        <v>2123.0100000000002</v>
      </c>
      <c r="H64" s="3">
        <f t="shared" si="11"/>
        <v>1921.9303397008741</v>
      </c>
      <c r="I64" s="3">
        <f t="shared" si="12"/>
        <v>201.079660299126</v>
      </c>
      <c r="J64" s="3">
        <v>0</v>
      </c>
      <c r="K64" s="3">
        <f t="shared" si="13"/>
        <v>18186.013654108719</v>
      </c>
    </row>
    <row r="65" spans="2:11" x14ac:dyDescent="0.3">
      <c r="B65" s="2">
        <v>47343</v>
      </c>
      <c r="C65" s="3">
        <f t="shared" si="14"/>
        <v>18186.013654108719</v>
      </c>
      <c r="D65" s="3">
        <v>30.416699999999999</v>
      </c>
      <c r="E65" s="3">
        <f t="shared" si="9"/>
        <v>181.86033583986693</v>
      </c>
      <c r="F65" s="3">
        <v>0</v>
      </c>
      <c r="G65" s="3">
        <f t="shared" si="10"/>
        <v>2123.0100000000002</v>
      </c>
      <c r="H65" s="3">
        <f t="shared" si="11"/>
        <v>1941.1496641601334</v>
      </c>
      <c r="I65" s="3">
        <f t="shared" si="12"/>
        <v>181.86033583986693</v>
      </c>
      <c r="J65" s="3">
        <v>0</v>
      </c>
      <c r="K65" s="3">
        <f t="shared" si="13"/>
        <v>16244.863989948586</v>
      </c>
    </row>
    <row r="66" spans="2:11" x14ac:dyDescent="0.3">
      <c r="B66" s="2">
        <v>47374</v>
      </c>
      <c r="C66" s="3">
        <f t="shared" si="14"/>
        <v>16244.863989948586</v>
      </c>
      <c r="D66" s="3">
        <v>30.416699999999999</v>
      </c>
      <c r="E66" s="3">
        <f t="shared" si="9"/>
        <v>162.4488179253926</v>
      </c>
      <c r="F66" s="3">
        <v>0</v>
      </c>
      <c r="G66" s="3">
        <f t="shared" si="10"/>
        <v>2123.0100000000002</v>
      </c>
      <c r="H66" s="3">
        <f t="shared" si="11"/>
        <v>1960.5611820746076</v>
      </c>
      <c r="I66" s="3">
        <f t="shared" si="12"/>
        <v>162.4488179253926</v>
      </c>
      <c r="J66" s="3">
        <v>0</v>
      </c>
      <c r="K66" s="3">
        <f t="shared" si="13"/>
        <v>14284.302807873979</v>
      </c>
    </row>
    <row r="67" spans="2:11" x14ac:dyDescent="0.3">
      <c r="B67" s="2">
        <v>47404</v>
      </c>
      <c r="C67" s="3">
        <f t="shared" si="14"/>
        <v>14284.302807873979</v>
      </c>
      <c r="D67" s="3">
        <v>30.416699999999999</v>
      </c>
      <c r="E67" s="3">
        <f t="shared" si="9"/>
        <v>142.84318461904454</v>
      </c>
      <c r="F67" s="3">
        <v>0</v>
      </c>
      <c r="G67" s="3">
        <f t="shared" si="10"/>
        <v>2123.0100000000002</v>
      </c>
      <c r="H67" s="3">
        <f t="shared" si="11"/>
        <v>1980.1668153809558</v>
      </c>
      <c r="I67" s="3">
        <f t="shared" si="12"/>
        <v>142.84318461904454</v>
      </c>
      <c r="J67" s="3">
        <v>0</v>
      </c>
      <c r="K67" s="3">
        <f t="shared" si="13"/>
        <v>12304.135992493024</v>
      </c>
    </row>
    <row r="68" spans="2:11" x14ac:dyDescent="0.3">
      <c r="B68" s="2">
        <v>47435</v>
      </c>
      <c r="C68" s="3">
        <f t="shared" si="14"/>
        <v>12304.135992493024</v>
      </c>
      <c r="D68" s="3">
        <v>30.416699999999999</v>
      </c>
      <c r="E68" s="3">
        <f t="shared" si="9"/>
        <v>123.04149476477671</v>
      </c>
      <c r="F68" s="3">
        <v>0</v>
      </c>
      <c r="G68" s="3">
        <f t="shared" si="10"/>
        <v>2123.0100000000002</v>
      </c>
      <c r="H68" s="3">
        <f t="shared" si="11"/>
        <v>1999.9685052352236</v>
      </c>
      <c r="I68" s="3">
        <f t="shared" si="12"/>
        <v>123.04149476477671</v>
      </c>
      <c r="J68" s="3">
        <v>0</v>
      </c>
      <c r="K68" s="3">
        <f t="shared" si="13"/>
        <v>10304.167487257801</v>
      </c>
    </row>
    <row r="69" spans="2:11" x14ac:dyDescent="0.3">
      <c r="B69" s="2">
        <v>47465</v>
      </c>
      <c r="C69" s="3">
        <f t="shared" si="14"/>
        <v>10304.167487257801</v>
      </c>
      <c r="D69" s="3">
        <v>30.416699999999999</v>
      </c>
      <c r="E69" s="3">
        <f t="shared" si="9"/>
        <v>103.04178779496142</v>
      </c>
      <c r="F69" s="3">
        <v>0</v>
      </c>
      <c r="G69" s="3">
        <f t="shared" si="10"/>
        <v>2123.0100000000002</v>
      </c>
      <c r="H69" s="3">
        <f t="shared" si="11"/>
        <v>2019.9682122050388</v>
      </c>
      <c r="I69" s="3">
        <f t="shared" si="12"/>
        <v>103.04178779496142</v>
      </c>
      <c r="J69" s="3">
        <v>0</v>
      </c>
      <c r="K69" s="3">
        <f t="shared" si="13"/>
        <v>8284.1992750527625</v>
      </c>
    </row>
    <row r="70" spans="2:11" x14ac:dyDescent="0.3">
      <c r="B70" s="2">
        <v>47496</v>
      </c>
      <c r="C70" s="3">
        <f t="shared" si="14"/>
        <v>8284.1992750527625</v>
      </c>
      <c r="D70" s="3">
        <v>30.416699999999999</v>
      </c>
      <c r="E70" s="3">
        <f t="shared" si="9"/>
        <v>82.842083536273094</v>
      </c>
      <c r="F70" s="3">
        <v>0</v>
      </c>
      <c r="G70" s="3">
        <f t="shared" si="10"/>
        <v>2123.0100000000002</v>
      </c>
      <c r="H70" s="3">
        <f t="shared" si="11"/>
        <v>2040.1679164637271</v>
      </c>
      <c r="I70" s="3">
        <f t="shared" si="12"/>
        <v>82.842083536273094</v>
      </c>
      <c r="J70" s="3">
        <v>0</v>
      </c>
      <c r="K70" s="3">
        <f t="shared" si="13"/>
        <v>6244.0313585890353</v>
      </c>
    </row>
    <row r="71" spans="2:11" x14ac:dyDescent="0.3">
      <c r="B71" s="2">
        <v>47527</v>
      </c>
      <c r="C71" s="3">
        <f t="shared" si="14"/>
        <v>6244.0313585890353</v>
      </c>
      <c r="D71" s="3">
        <v>30.416699999999999</v>
      </c>
      <c r="E71" s="3">
        <f t="shared" si="9"/>
        <v>62.440382013631265</v>
      </c>
      <c r="F71" s="3">
        <v>0</v>
      </c>
      <c r="G71" s="3">
        <f t="shared" si="10"/>
        <v>2123.0100000000002</v>
      </c>
      <c r="H71" s="3">
        <f t="shared" si="11"/>
        <v>2060.5696179863689</v>
      </c>
      <c r="I71" s="3">
        <f t="shared" si="12"/>
        <v>62.440382013631265</v>
      </c>
      <c r="J71" s="3">
        <v>0</v>
      </c>
      <c r="K71" s="3">
        <f t="shared" si="13"/>
        <v>4183.4617406026664</v>
      </c>
    </row>
    <row r="72" spans="2:11" x14ac:dyDescent="0.3">
      <c r="B72" s="2">
        <v>47555</v>
      </c>
      <c r="C72" s="3">
        <f t="shared" si="14"/>
        <v>4183.4617406026664</v>
      </c>
      <c r="D72" s="3">
        <v>30.416699999999999</v>
      </c>
      <c r="E72" s="3">
        <f t="shared" si="9"/>
        <v>41.834663252182722</v>
      </c>
      <c r="F72" s="3">
        <v>0</v>
      </c>
      <c r="G72" s="3">
        <f t="shared" si="10"/>
        <v>2123.0100000000002</v>
      </c>
      <c r="H72" s="3">
        <f t="shared" si="11"/>
        <v>2081.1753367478177</v>
      </c>
      <c r="I72" s="3">
        <f t="shared" si="12"/>
        <v>41.834663252182722</v>
      </c>
      <c r="J72" s="3">
        <v>0</v>
      </c>
      <c r="K72" s="3">
        <f t="shared" si="13"/>
        <v>2102.2864038548487</v>
      </c>
    </row>
    <row r="73" spans="2:11" x14ac:dyDescent="0.3">
      <c r="B73" s="2">
        <v>47586</v>
      </c>
      <c r="C73" s="3">
        <f t="shared" si="14"/>
        <v>2102.2864038548487</v>
      </c>
      <c r="D73" s="3">
        <v>30.416699999999999</v>
      </c>
      <c r="E73" s="3">
        <f t="shared" si="9"/>
        <v>21.022887077303597</v>
      </c>
      <c r="F73" s="3">
        <v>0</v>
      </c>
      <c r="G73" s="3">
        <f t="shared" si="10"/>
        <v>2123.0100000000002</v>
      </c>
      <c r="H73" s="3">
        <f t="shared" si="11"/>
        <v>2101.9871129226967</v>
      </c>
      <c r="I73" s="3">
        <f t="shared" si="12"/>
        <v>21.022887077303597</v>
      </c>
      <c r="J73" s="3">
        <v>0</v>
      </c>
      <c r="K73" s="3">
        <f t="shared" si="13"/>
        <v>0.2992909321519619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83C0-5823-402F-8E97-7AFA52510CDF}">
  <sheetPr codeName="Sheet31"/>
  <dimension ref="B2:R71"/>
  <sheetViews>
    <sheetView topLeftCell="A13" workbookViewId="0">
      <selection activeCell="G13" sqref="G13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5" width="10.6640625" bestFit="1" customWidth="1"/>
    <col min="16" max="16" width="9.77734375" bestFit="1" customWidth="1"/>
    <col min="17" max="18" width="9.109375" bestFit="1" customWidth="1"/>
  </cols>
  <sheetData>
    <row r="2" spans="2:18" x14ac:dyDescent="0.3">
      <c r="B2" s="2" t="s">
        <v>0</v>
      </c>
      <c r="C2" s="3">
        <v>100000</v>
      </c>
    </row>
    <row r="3" spans="2:18" x14ac:dyDescent="0.3">
      <c r="B3" s="2" t="s">
        <v>1</v>
      </c>
      <c r="C3" s="3">
        <v>0.12</v>
      </c>
    </row>
    <row r="4" spans="2:18" x14ac:dyDescent="0.3">
      <c r="B4" s="2" t="s">
        <v>2</v>
      </c>
      <c r="C4" s="3">
        <v>62</v>
      </c>
    </row>
    <row r="5" spans="2:18" x14ac:dyDescent="0.3">
      <c r="B5" s="2" t="s">
        <v>3</v>
      </c>
      <c r="C5" s="3">
        <v>2172.04</v>
      </c>
    </row>
    <row r="6" spans="2:18" x14ac:dyDescent="0.3">
      <c r="B6" s="2" t="s">
        <v>4</v>
      </c>
      <c r="C6" s="3" t="s">
        <v>28</v>
      </c>
    </row>
    <row r="9" spans="2:18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</row>
    <row r="10" spans="2:18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2172.04</v>
      </c>
      <c r="H10" s="3">
        <f t="shared" ref="H10:H41" si="2">G10-E10</f>
        <v>1172.04</v>
      </c>
      <c r="I10" s="3">
        <f t="shared" ref="I10:I41" si="3">E10</f>
        <v>1000</v>
      </c>
      <c r="J10" s="3">
        <v>0</v>
      </c>
      <c r="K10" s="3">
        <f t="shared" ref="K10:K41" si="4">C10 - H10</f>
        <v>98827.96</v>
      </c>
      <c r="M10" t="s">
        <v>20</v>
      </c>
      <c r="N10" s="3">
        <f>SUM(G12:G23)</f>
        <v>26064.480000000007</v>
      </c>
      <c r="O10" s="3">
        <f>SUM(G24:G35)</f>
        <v>26064.480000000007</v>
      </c>
      <c r="P10" s="3">
        <f>SUM(G36:G47)</f>
        <v>26064.480000000007</v>
      </c>
      <c r="Q10" s="3">
        <f>SUM(G48:G59)</f>
        <v>26064.480000000007</v>
      </c>
      <c r="R10" s="3">
        <f>SUM(G60:G71)</f>
        <v>26064.480000000007</v>
      </c>
    </row>
    <row r="11" spans="2:18" x14ac:dyDescent="0.3">
      <c r="B11" s="2">
        <v>45701</v>
      </c>
      <c r="C11" s="3">
        <f t="shared" ref="C11:C42" si="5">K10</f>
        <v>98827.96</v>
      </c>
      <c r="D11" s="3">
        <v>30.416699999999999</v>
      </c>
      <c r="E11" s="3">
        <f t="shared" si="0"/>
        <v>988.28068304613703</v>
      </c>
      <c r="F11" s="3">
        <v>0</v>
      </c>
      <c r="G11" s="3">
        <f t="shared" si="1"/>
        <v>2172.04</v>
      </c>
      <c r="H11" s="3">
        <f t="shared" si="2"/>
        <v>1183.7593169538629</v>
      </c>
      <c r="I11" s="3">
        <f t="shared" si="3"/>
        <v>988.28068304613703</v>
      </c>
      <c r="J11" s="3">
        <v>0</v>
      </c>
      <c r="K11" s="3">
        <f t="shared" si="4"/>
        <v>97644.200683046147</v>
      </c>
      <c r="M11" t="s">
        <v>21</v>
      </c>
      <c r="N11" s="3">
        <f>SUM(G24:G71)</f>
        <v>104257.91999999991</v>
      </c>
      <c r="O11" s="3">
        <f>SUM(G36:G71)</f>
        <v>78193.439999999988</v>
      </c>
      <c r="P11" s="3">
        <f>SUM(G48:G71)</f>
        <v>52128.960000000014</v>
      </c>
      <c r="Q11" s="3">
        <f>SUM(G60:G71)</f>
        <v>26064.480000000007</v>
      </c>
    </row>
    <row r="12" spans="2:18" x14ac:dyDescent="0.3">
      <c r="B12" s="2">
        <v>45729</v>
      </c>
      <c r="C12" s="3">
        <f t="shared" si="5"/>
        <v>97644.200683046147</v>
      </c>
      <c r="D12" s="3">
        <v>30.416699999999999</v>
      </c>
      <c r="E12" s="3">
        <f t="shared" si="0"/>
        <v>976.44307690389348</v>
      </c>
      <c r="F12" s="3">
        <v>0</v>
      </c>
      <c r="G12" s="3">
        <f t="shared" si="1"/>
        <v>2172.04</v>
      </c>
      <c r="H12" s="3">
        <f t="shared" si="2"/>
        <v>1195.5969230961064</v>
      </c>
      <c r="I12" s="3">
        <f t="shared" si="3"/>
        <v>976.44307690389348</v>
      </c>
      <c r="J12" s="3">
        <v>0</v>
      </c>
      <c r="K12" s="3">
        <f t="shared" si="4"/>
        <v>96448.603759950041</v>
      </c>
      <c r="M12" t="s">
        <v>22</v>
      </c>
    </row>
    <row r="13" spans="2:18" x14ac:dyDescent="0.3">
      <c r="B13" s="2">
        <v>45760</v>
      </c>
      <c r="C13" s="3">
        <f t="shared" si="5"/>
        <v>96448.603759950041</v>
      </c>
      <c r="D13" s="3">
        <v>30.416699999999999</v>
      </c>
      <c r="E13" s="3">
        <f t="shared" si="0"/>
        <v>964.48709457050052</v>
      </c>
      <c r="F13" s="3">
        <v>0</v>
      </c>
      <c r="G13" s="3">
        <f t="shared" si="1"/>
        <v>2172.04</v>
      </c>
      <c r="H13" s="3">
        <f t="shared" si="2"/>
        <v>1207.5529054294993</v>
      </c>
      <c r="I13" s="3">
        <f t="shared" si="3"/>
        <v>964.48709457050052</v>
      </c>
      <c r="J13" s="3">
        <v>0</v>
      </c>
      <c r="K13" s="3">
        <f t="shared" si="4"/>
        <v>95241.050854520538</v>
      </c>
    </row>
    <row r="14" spans="2:18" x14ac:dyDescent="0.3">
      <c r="B14" s="2">
        <v>45790</v>
      </c>
      <c r="C14" s="3">
        <f t="shared" si="5"/>
        <v>95241.050854520538</v>
      </c>
      <c r="D14" s="3">
        <v>30.416699999999999</v>
      </c>
      <c r="E14" s="3">
        <f t="shared" si="0"/>
        <v>952.41155228274886</v>
      </c>
      <c r="F14" s="3">
        <v>0</v>
      </c>
      <c r="G14" s="3">
        <f t="shared" si="1"/>
        <v>2172.04</v>
      </c>
      <c r="H14" s="3">
        <f t="shared" si="2"/>
        <v>1219.6284477172512</v>
      </c>
      <c r="I14" s="3">
        <f t="shared" si="3"/>
        <v>952.41155228274886</v>
      </c>
      <c r="J14" s="3">
        <v>0</v>
      </c>
      <c r="K14" s="3">
        <f t="shared" si="4"/>
        <v>94021.422406803293</v>
      </c>
      <c r="M14" t="s">
        <v>23</v>
      </c>
      <c r="N14" s="3">
        <f>SUM(N10,N11,N12)</f>
        <v>130322.39999999992</v>
      </c>
      <c r="O14" s="3">
        <f>SUM(O10,O11,O12)</f>
        <v>104257.92</v>
      </c>
      <c r="P14" s="3">
        <f>SUM(P10,P11,P12)</f>
        <v>78193.440000000017</v>
      </c>
      <c r="Q14" s="3">
        <f>SUM(Q10,Q11,Q12)</f>
        <v>52128.960000000014</v>
      </c>
      <c r="R14" s="3">
        <f>SUM(R10,R11,R12)</f>
        <v>26064.480000000007</v>
      </c>
    </row>
    <row r="15" spans="2:18" x14ac:dyDescent="0.3">
      <c r="B15" s="2">
        <v>45821</v>
      </c>
      <c r="C15" s="3">
        <f t="shared" si="5"/>
        <v>94021.422406803293</v>
      </c>
      <c r="D15" s="3">
        <v>30.416699999999999</v>
      </c>
      <c r="E15" s="3">
        <f t="shared" si="0"/>
        <v>940.21525443978533</v>
      </c>
      <c r="F15" s="3">
        <v>0</v>
      </c>
      <c r="G15" s="3">
        <f t="shared" si="1"/>
        <v>2172.04</v>
      </c>
      <c r="H15" s="3">
        <f t="shared" si="2"/>
        <v>1231.8247455602145</v>
      </c>
      <c r="I15" s="3">
        <f t="shared" si="3"/>
        <v>940.21525443978533</v>
      </c>
      <c r="J15" s="3">
        <v>0</v>
      </c>
      <c r="K15" s="3">
        <f t="shared" si="4"/>
        <v>92789.597661243082</v>
      </c>
    </row>
    <row r="16" spans="2:18" x14ac:dyDescent="0.3">
      <c r="B16" s="2">
        <v>45851</v>
      </c>
      <c r="C16" s="3">
        <f t="shared" si="5"/>
        <v>92789.597661243082</v>
      </c>
      <c r="D16" s="3">
        <v>30.416699999999999</v>
      </c>
      <c r="E16" s="3">
        <f t="shared" si="0"/>
        <v>927.8969934847338</v>
      </c>
      <c r="F16" s="3">
        <v>0</v>
      </c>
      <c r="G16" s="3">
        <f t="shared" si="1"/>
        <v>2172.04</v>
      </c>
      <c r="H16" s="3">
        <f t="shared" si="2"/>
        <v>1244.1430065152663</v>
      </c>
      <c r="I16" s="3">
        <f t="shared" si="3"/>
        <v>927.8969934847338</v>
      </c>
      <c r="J16" s="3">
        <v>0</v>
      </c>
      <c r="K16" s="3">
        <f t="shared" si="4"/>
        <v>91545.454654727815</v>
      </c>
      <c r="M16" t="s">
        <v>24</v>
      </c>
      <c r="N16" s="3">
        <f>-SUM(E12:E71)</f>
        <v>-32678.359611702923</v>
      </c>
      <c r="O16" s="3">
        <f>-SUM(E24:E71)</f>
        <v>-21777.042115837401</v>
      </c>
      <c r="P16" s="3">
        <f>-SUM(E36:E71)</f>
        <v>-12798.795386164145</v>
      </c>
      <c r="Q16" s="3">
        <f>-SUM(E48:E71)</f>
        <v>-5987.5132127005563</v>
      </c>
      <c r="R16" s="3">
        <f>-SUM(E60:E71)</f>
        <v>-1618.0212585156298</v>
      </c>
    </row>
    <row r="17" spans="2:18" x14ac:dyDescent="0.3">
      <c r="B17" s="2">
        <v>45882</v>
      </c>
      <c r="C17" s="3">
        <f t="shared" si="5"/>
        <v>91545.454654727815</v>
      </c>
      <c r="D17" s="3">
        <v>30.416699999999999</v>
      </c>
      <c r="E17" s="3">
        <f t="shared" si="0"/>
        <v>915.45554978513724</v>
      </c>
      <c r="F17" s="3">
        <v>0</v>
      </c>
      <c r="G17" s="3">
        <f t="shared" si="1"/>
        <v>2172.04</v>
      </c>
      <c r="H17" s="3">
        <f t="shared" si="2"/>
        <v>1256.5844502148627</v>
      </c>
      <c r="I17" s="3">
        <f t="shared" si="3"/>
        <v>915.45554978513724</v>
      </c>
      <c r="J17" s="3">
        <v>0</v>
      </c>
      <c r="K17" s="3">
        <f t="shared" si="4"/>
        <v>90288.870204512947</v>
      </c>
      <c r="M17" t="s">
        <v>25</v>
      </c>
      <c r="N17" s="3">
        <f>SUM(N14,N16)</f>
        <v>97644.040388296999</v>
      </c>
      <c r="O17" s="3">
        <f>SUM(O14,O16)</f>
        <v>82480.87788416259</v>
      </c>
      <c r="P17" s="3">
        <f>SUM(P14,P16)</f>
        <v>65394.644613835873</v>
      </c>
      <c r="Q17" s="3">
        <f>SUM(Q14,Q16)</f>
        <v>46141.446787299457</v>
      </c>
      <c r="R17" s="3">
        <f>SUM(R14,R16)</f>
        <v>24446.458741484377</v>
      </c>
    </row>
    <row r="18" spans="2:18" x14ac:dyDescent="0.3">
      <c r="B18" s="2">
        <v>45913</v>
      </c>
      <c r="C18" s="3">
        <f t="shared" si="5"/>
        <v>90288.870204512947</v>
      </c>
      <c r="D18" s="3">
        <v>30.416699999999999</v>
      </c>
      <c r="E18" s="3">
        <f t="shared" si="0"/>
        <v>902.88969151220022</v>
      </c>
      <c r="F18" s="3">
        <v>0</v>
      </c>
      <c r="G18" s="3">
        <f t="shared" si="1"/>
        <v>2172.04</v>
      </c>
      <c r="H18" s="3">
        <f t="shared" si="2"/>
        <v>1269.1503084877997</v>
      </c>
      <c r="I18" s="3">
        <f t="shared" si="3"/>
        <v>902.88969151220022</v>
      </c>
      <c r="J18" s="3">
        <v>0</v>
      </c>
      <c r="K18" s="3">
        <f t="shared" si="4"/>
        <v>89019.719896025141</v>
      </c>
    </row>
    <row r="19" spans="2:18" x14ac:dyDescent="0.3">
      <c r="B19" s="2">
        <v>45943</v>
      </c>
      <c r="C19" s="3">
        <f t="shared" si="5"/>
        <v>89019.719896025141</v>
      </c>
      <c r="D19" s="3">
        <v>30.416699999999999</v>
      </c>
      <c r="E19" s="3">
        <f t="shared" si="0"/>
        <v>890.19817451882557</v>
      </c>
      <c r="F19" s="3">
        <v>0</v>
      </c>
      <c r="G19" s="3">
        <f t="shared" si="1"/>
        <v>2172.04</v>
      </c>
      <c r="H19" s="3">
        <f t="shared" si="2"/>
        <v>1281.8418254811745</v>
      </c>
      <c r="I19" s="3">
        <f t="shared" si="3"/>
        <v>890.19817451882557</v>
      </c>
      <c r="J19" s="3">
        <v>0</v>
      </c>
      <c r="K19" s="3">
        <f t="shared" si="4"/>
        <v>87737.878070543971</v>
      </c>
      <c r="M19" t="s">
        <v>20</v>
      </c>
      <c r="N19" s="3">
        <f>SUM(H12:H23)</f>
        <v>15163.16250413448</v>
      </c>
      <c r="O19" s="3">
        <f>SUM(H24:H35)</f>
        <v>17086.233270326738</v>
      </c>
      <c r="P19" s="3">
        <f>SUM(H36:H47)</f>
        <v>19253.197826536412</v>
      </c>
      <c r="Q19" s="3">
        <f>SUM(H48:H59)</f>
        <v>21694.988045815073</v>
      </c>
      <c r="R19" s="3">
        <f>SUM(H60:H71)</f>
        <v>24446.458741484377</v>
      </c>
    </row>
    <row r="20" spans="2:18" x14ac:dyDescent="0.3">
      <c r="B20" s="2">
        <v>45974</v>
      </c>
      <c r="C20" s="3">
        <f t="shared" si="5"/>
        <v>87737.878070543971</v>
      </c>
      <c r="D20" s="3">
        <v>30.416699999999999</v>
      </c>
      <c r="E20" s="3">
        <f t="shared" si="0"/>
        <v>877.37974221643219</v>
      </c>
      <c r="F20" s="3">
        <v>0</v>
      </c>
      <c r="G20" s="3">
        <f t="shared" si="1"/>
        <v>2172.04</v>
      </c>
      <c r="H20" s="3">
        <f t="shared" si="2"/>
        <v>1294.6602577835679</v>
      </c>
      <c r="I20" s="3">
        <f t="shared" si="3"/>
        <v>877.37974221643219</v>
      </c>
      <c r="J20" s="3">
        <v>0</v>
      </c>
      <c r="K20" s="3">
        <f t="shared" si="4"/>
        <v>86443.217812760398</v>
      </c>
      <c r="M20" t="s">
        <v>21</v>
      </c>
      <c r="N20" s="3">
        <f>SUM(H24:H71)</f>
        <v>82480.877884162575</v>
      </c>
      <c r="O20" s="3">
        <f>SUM(H36:H71)</f>
        <v>65394.644613835866</v>
      </c>
      <c r="P20" s="3">
        <f>SUM(H48:H71)</f>
        <v>46141.446787299436</v>
      </c>
      <c r="Q20" s="3">
        <f>SUM(H60:H71)</f>
        <v>24446.458741484377</v>
      </c>
    </row>
    <row r="21" spans="2:18" x14ac:dyDescent="0.3">
      <c r="B21" s="2">
        <v>46004</v>
      </c>
      <c r="C21" s="3">
        <f t="shared" si="5"/>
        <v>86443.217812760398</v>
      </c>
      <c r="D21" s="3">
        <v>30.416699999999999</v>
      </c>
      <c r="E21" s="3">
        <f t="shared" si="0"/>
        <v>864.4331254505388</v>
      </c>
      <c r="F21" s="3">
        <v>0</v>
      </c>
      <c r="G21" s="3">
        <f t="shared" si="1"/>
        <v>2172.04</v>
      </c>
      <c r="H21" s="3">
        <f t="shared" si="2"/>
        <v>1307.6068745494613</v>
      </c>
      <c r="I21" s="3">
        <f t="shared" si="3"/>
        <v>864.4331254505388</v>
      </c>
      <c r="J21" s="3">
        <v>0</v>
      </c>
      <c r="K21" s="3">
        <f t="shared" si="4"/>
        <v>85135.610938210943</v>
      </c>
      <c r="M21" t="s">
        <v>22</v>
      </c>
      <c r="N21" s="3">
        <f>SUM(H71:H72)</f>
        <v>2150.5330430527397</v>
      </c>
    </row>
    <row r="22" spans="2:18" x14ac:dyDescent="0.3">
      <c r="B22" s="2">
        <v>46035</v>
      </c>
      <c r="C22" s="3">
        <f t="shared" si="5"/>
        <v>85135.610938210943</v>
      </c>
      <c r="D22" s="3">
        <v>30.416699999999999</v>
      </c>
      <c r="E22" s="3">
        <f t="shared" si="0"/>
        <v>851.35704237510583</v>
      </c>
      <c r="F22" s="3">
        <v>0</v>
      </c>
      <c r="G22" s="3">
        <f t="shared" si="1"/>
        <v>2172.04</v>
      </c>
      <c r="H22" s="3">
        <f t="shared" si="2"/>
        <v>1320.6829576248942</v>
      </c>
      <c r="I22" s="3">
        <f t="shared" si="3"/>
        <v>851.35704237510583</v>
      </c>
      <c r="J22" s="3">
        <v>0</v>
      </c>
      <c r="K22" s="3">
        <f t="shared" si="4"/>
        <v>83814.927980586042</v>
      </c>
      <c r="M22" t="s">
        <v>27</v>
      </c>
      <c r="N22" s="3">
        <f>SUM(N19,N20,N21)</f>
        <v>99794.573431349796</v>
      </c>
      <c r="O22" s="3">
        <f>SUM(O19,O20,O21)</f>
        <v>82480.877884162604</v>
      </c>
      <c r="P22" s="3">
        <f>SUM(P19,P20,P21)</f>
        <v>65394.644613835844</v>
      </c>
      <c r="Q22" s="3">
        <f>SUM(Q19,Q20,Q21)</f>
        <v>46141.44678729945</v>
      </c>
      <c r="R22" s="3">
        <f>SUM(R19,R20,R21)</f>
        <v>24446.458741484377</v>
      </c>
    </row>
    <row r="23" spans="2:18" x14ac:dyDescent="0.3">
      <c r="B23" s="2">
        <v>46066</v>
      </c>
      <c r="C23" s="3">
        <f t="shared" si="5"/>
        <v>83814.927980586042</v>
      </c>
      <c r="D23" s="3">
        <v>30.416699999999999</v>
      </c>
      <c r="E23" s="3">
        <f t="shared" si="0"/>
        <v>838.15019832561904</v>
      </c>
      <c r="F23" s="3">
        <v>0</v>
      </c>
      <c r="G23" s="3">
        <f t="shared" si="1"/>
        <v>2172.04</v>
      </c>
      <c r="H23" s="3">
        <f t="shared" si="2"/>
        <v>1333.889801674381</v>
      </c>
      <c r="I23" s="3">
        <f t="shared" si="3"/>
        <v>838.15019832561904</v>
      </c>
      <c r="J23" s="3">
        <v>0</v>
      </c>
      <c r="K23" s="3">
        <f t="shared" si="4"/>
        <v>82481.038178911665</v>
      </c>
    </row>
    <row r="24" spans="2:18" x14ac:dyDescent="0.3">
      <c r="B24" s="2">
        <v>46094</v>
      </c>
      <c r="C24" s="3">
        <f t="shared" si="5"/>
        <v>82481.038178911665</v>
      </c>
      <c r="D24" s="3">
        <v>30.416699999999999</v>
      </c>
      <c r="E24" s="3">
        <f t="shared" si="0"/>
        <v>824.81128569090492</v>
      </c>
      <c r="F24" s="3">
        <v>0</v>
      </c>
      <c r="G24" s="4">
        <f t="shared" si="1"/>
        <v>2172.04</v>
      </c>
      <c r="H24" s="3">
        <f t="shared" si="2"/>
        <v>1347.228714309095</v>
      </c>
      <c r="I24" s="3">
        <f t="shared" si="3"/>
        <v>824.81128569090492</v>
      </c>
      <c r="J24" s="3">
        <v>0</v>
      </c>
      <c r="K24" s="3">
        <f t="shared" si="4"/>
        <v>81133.809464602571</v>
      </c>
    </row>
    <row r="25" spans="2:18" x14ac:dyDescent="0.3">
      <c r="B25" s="2">
        <v>46125</v>
      </c>
      <c r="C25" s="3">
        <f t="shared" si="5"/>
        <v>81133.809464602571</v>
      </c>
      <c r="D25" s="3">
        <v>30.416699999999999</v>
      </c>
      <c r="E25" s="3">
        <f t="shared" si="0"/>
        <v>811.33898378366359</v>
      </c>
      <c r="F25" s="3">
        <v>0</v>
      </c>
      <c r="G25" s="4">
        <f t="shared" si="1"/>
        <v>2172.04</v>
      </c>
      <c r="H25" s="3">
        <f t="shared" si="2"/>
        <v>1360.7010162163365</v>
      </c>
      <c r="I25" s="3">
        <f t="shared" si="3"/>
        <v>811.33898378366359</v>
      </c>
      <c r="J25" s="3">
        <v>0</v>
      </c>
      <c r="K25" s="3">
        <f t="shared" si="4"/>
        <v>79773.108448386236</v>
      </c>
    </row>
    <row r="26" spans="2:18" x14ac:dyDescent="0.3">
      <c r="B26" s="2">
        <v>46155</v>
      </c>
      <c r="C26" s="3">
        <f t="shared" si="5"/>
        <v>79773.108448386236</v>
      </c>
      <c r="D26" s="3">
        <v>30.416699999999999</v>
      </c>
      <c r="E26" s="3">
        <f t="shared" si="0"/>
        <v>797.73195870970824</v>
      </c>
      <c r="F26" s="3">
        <v>0</v>
      </c>
      <c r="G26" s="4">
        <f t="shared" si="1"/>
        <v>2172.04</v>
      </c>
      <c r="H26" s="3">
        <f t="shared" si="2"/>
        <v>1374.3080412902918</v>
      </c>
      <c r="I26" s="3">
        <f t="shared" si="3"/>
        <v>797.73195870970824</v>
      </c>
      <c r="J26" s="3">
        <v>0</v>
      </c>
      <c r="K26" s="3">
        <f t="shared" si="4"/>
        <v>78398.800407095943</v>
      </c>
    </row>
    <row r="27" spans="2:18" x14ac:dyDescent="0.3">
      <c r="B27" s="2">
        <v>46186</v>
      </c>
      <c r="C27" s="3">
        <f t="shared" si="5"/>
        <v>78398.800407095943</v>
      </c>
      <c r="D27" s="3">
        <v>30.416699999999999</v>
      </c>
      <c r="E27" s="3">
        <f t="shared" si="0"/>
        <v>783.98886323589534</v>
      </c>
      <c r="F27" s="3">
        <v>0</v>
      </c>
      <c r="G27" s="4">
        <f t="shared" si="1"/>
        <v>2172.04</v>
      </c>
      <c r="H27" s="3">
        <f t="shared" si="2"/>
        <v>1388.0511367641047</v>
      </c>
      <c r="I27" s="3">
        <f t="shared" si="3"/>
        <v>783.98886323589534</v>
      </c>
      <c r="J27" s="3">
        <v>0</v>
      </c>
      <c r="K27" s="3">
        <f t="shared" si="4"/>
        <v>77010.749270331842</v>
      </c>
    </row>
    <row r="28" spans="2:18" x14ac:dyDescent="0.3">
      <c r="B28" s="2">
        <v>46216</v>
      </c>
      <c r="C28" s="3">
        <f t="shared" si="5"/>
        <v>77010.749270331842</v>
      </c>
      <c r="D28" s="3">
        <v>30.416699999999999</v>
      </c>
      <c r="E28" s="3">
        <f t="shared" si="0"/>
        <v>770.10833665673499</v>
      </c>
      <c r="F28" s="3">
        <v>0</v>
      </c>
      <c r="G28" s="4">
        <f t="shared" si="1"/>
        <v>2172.04</v>
      </c>
      <c r="H28" s="3">
        <f t="shared" si="2"/>
        <v>1401.931663343265</v>
      </c>
      <c r="I28" s="3">
        <f t="shared" si="3"/>
        <v>770.10833665673499</v>
      </c>
      <c r="J28" s="3">
        <v>0</v>
      </c>
      <c r="K28" s="3">
        <f t="shared" si="4"/>
        <v>75608.817606988581</v>
      </c>
    </row>
    <row r="29" spans="2:18" x14ac:dyDescent="0.3">
      <c r="B29" s="2">
        <v>46247</v>
      </c>
      <c r="C29" s="3">
        <f t="shared" si="5"/>
        <v>75608.817606988581</v>
      </c>
      <c r="D29" s="3">
        <v>30.416699999999999</v>
      </c>
      <c r="E29" s="3">
        <f t="shared" si="0"/>
        <v>756.08900465966769</v>
      </c>
      <c r="F29" s="3">
        <v>0</v>
      </c>
      <c r="G29" s="4">
        <f t="shared" si="1"/>
        <v>2172.04</v>
      </c>
      <c r="H29" s="3">
        <f t="shared" si="2"/>
        <v>1415.9509953403322</v>
      </c>
      <c r="I29" s="3">
        <f t="shared" si="3"/>
        <v>756.08900465966769</v>
      </c>
      <c r="J29" s="3">
        <v>0</v>
      </c>
      <c r="K29" s="3">
        <f t="shared" si="4"/>
        <v>74192.866611648249</v>
      </c>
    </row>
    <row r="30" spans="2:18" x14ac:dyDescent="0.3">
      <c r="B30" s="2">
        <v>46278</v>
      </c>
      <c r="C30" s="3">
        <f t="shared" si="5"/>
        <v>74192.866611648249</v>
      </c>
      <c r="D30" s="3">
        <v>30.416699999999999</v>
      </c>
      <c r="E30" s="3">
        <f t="shared" si="0"/>
        <v>741.92947918899324</v>
      </c>
      <c r="F30" s="3">
        <v>0</v>
      </c>
      <c r="G30" s="4">
        <f t="shared" si="1"/>
        <v>2172.04</v>
      </c>
      <c r="H30" s="3">
        <f t="shared" si="2"/>
        <v>1430.1105208110066</v>
      </c>
      <c r="I30" s="3">
        <f t="shared" si="3"/>
        <v>741.92947918899324</v>
      </c>
      <c r="J30" s="3">
        <v>0</v>
      </c>
      <c r="K30" s="3">
        <f t="shared" si="4"/>
        <v>72762.75609083724</v>
      </c>
    </row>
    <row r="31" spans="2:18" x14ac:dyDescent="0.3">
      <c r="B31" s="2">
        <v>46308</v>
      </c>
      <c r="C31" s="3">
        <f t="shared" si="5"/>
        <v>72762.75609083724</v>
      </c>
      <c r="D31" s="3">
        <v>30.416699999999999</v>
      </c>
      <c r="E31" s="3">
        <f t="shared" si="0"/>
        <v>727.62835830843903</v>
      </c>
      <c r="F31" s="3">
        <v>0</v>
      </c>
      <c r="G31" s="4">
        <f t="shared" si="1"/>
        <v>2172.04</v>
      </c>
      <c r="H31" s="3">
        <f t="shared" si="2"/>
        <v>1444.4116416915608</v>
      </c>
      <c r="I31" s="3">
        <f t="shared" si="3"/>
        <v>727.62835830843903</v>
      </c>
      <c r="J31" s="3">
        <v>0</v>
      </c>
      <c r="K31" s="3">
        <f t="shared" si="4"/>
        <v>71318.344449145676</v>
      </c>
    </row>
    <row r="32" spans="2:18" x14ac:dyDescent="0.3">
      <c r="B32" s="2">
        <v>46339</v>
      </c>
      <c r="C32" s="3">
        <f t="shared" si="5"/>
        <v>71318.344449145676</v>
      </c>
      <c r="D32" s="3">
        <v>30.416699999999999</v>
      </c>
      <c r="E32" s="3">
        <f t="shared" si="0"/>
        <v>713.18422606235481</v>
      </c>
      <c r="F32" s="3">
        <v>0</v>
      </c>
      <c r="G32" s="4">
        <f t="shared" si="1"/>
        <v>2172.04</v>
      </c>
      <c r="H32" s="3">
        <f t="shared" si="2"/>
        <v>1458.8557739376452</v>
      </c>
      <c r="I32" s="3">
        <f t="shared" si="3"/>
        <v>713.18422606235481</v>
      </c>
      <c r="J32" s="3">
        <v>0</v>
      </c>
      <c r="K32" s="3">
        <f t="shared" si="4"/>
        <v>69859.488675208035</v>
      </c>
    </row>
    <row r="33" spans="2:11" x14ac:dyDescent="0.3">
      <c r="B33" s="2">
        <v>46369</v>
      </c>
      <c r="C33" s="3">
        <f t="shared" si="5"/>
        <v>69859.488675208035</v>
      </c>
      <c r="D33" s="3">
        <v>30.416699999999999</v>
      </c>
      <c r="E33" s="3">
        <f t="shared" si="0"/>
        <v>698.5956523355178</v>
      </c>
      <c r="F33" s="3">
        <v>0</v>
      </c>
      <c r="G33" s="4">
        <f t="shared" si="1"/>
        <v>2172.04</v>
      </c>
      <c r="H33" s="3">
        <f t="shared" si="2"/>
        <v>1473.4443476644822</v>
      </c>
      <c r="I33" s="3">
        <f t="shared" si="3"/>
        <v>698.5956523355178</v>
      </c>
      <c r="J33" s="3">
        <v>0</v>
      </c>
      <c r="K33" s="3">
        <f t="shared" si="4"/>
        <v>68386.044327543554</v>
      </c>
    </row>
    <row r="34" spans="2:11" x14ac:dyDescent="0.3">
      <c r="B34" s="2">
        <v>46400</v>
      </c>
      <c r="C34" s="3">
        <f t="shared" si="5"/>
        <v>68386.044327543554</v>
      </c>
      <c r="D34" s="3">
        <v>30.416699999999999</v>
      </c>
      <c r="E34" s="3">
        <f t="shared" si="0"/>
        <v>683.86119271153768</v>
      </c>
      <c r="F34" s="3">
        <v>0</v>
      </c>
      <c r="G34" s="4">
        <f t="shared" si="1"/>
        <v>2172.04</v>
      </c>
      <c r="H34" s="3">
        <f t="shared" si="2"/>
        <v>1488.1788072884624</v>
      </c>
      <c r="I34" s="3">
        <f t="shared" si="3"/>
        <v>683.86119271153768</v>
      </c>
      <c r="J34" s="3">
        <v>0</v>
      </c>
      <c r="K34" s="3">
        <f t="shared" si="4"/>
        <v>66897.865520255087</v>
      </c>
    </row>
    <row r="35" spans="2:11" x14ac:dyDescent="0.3">
      <c r="B35" s="2">
        <v>46431</v>
      </c>
      <c r="C35" s="3">
        <f t="shared" si="5"/>
        <v>66897.865520255087</v>
      </c>
      <c r="D35" s="3">
        <v>30.416699999999999</v>
      </c>
      <c r="E35" s="3">
        <f t="shared" si="0"/>
        <v>668.97938832984426</v>
      </c>
      <c r="F35" s="3">
        <v>0</v>
      </c>
      <c r="G35" s="4">
        <f t="shared" si="1"/>
        <v>2172.04</v>
      </c>
      <c r="H35" s="3">
        <f t="shared" si="2"/>
        <v>1503.0606116701556</v>
      </c>
      <c r="I35" s="3">
        <f t="shared" si="3"/>
        <v>668.97938832984426</v>
      </c>
      <c r="J35" s="3">
        <v>0</v>
      </c>
      <c r="K35" s="3">
        <f t="shared" si="4"/>
        <v>65394.804908584934</v>
      </c>
    </row>
    <row r="36" spans="2:11" x14ac:dyDescent="0.3">
      <c r="B36" s="2">
        <v>46459</v>
      </c>
      <c r="C36" s="3">
        <f t="shared" si="5"/>
        <v>65394.804908584934</v>
      </c>
      <c r="D36" s="3">
        <v>30.416699999999999</v>
      </c>
      <c r="E36" s="3">
        <f t="shared" si="0"/>
        <v>653.94876574124555</v>
      </c>
      <c r="F36" s="3">
        <v>0</v>
      </c>
      <c r="G36" s="4">
        <f t="shared" si="1"/>
        <v>2172.04</v>
      </c>
      <c r="H36" s="3">
        <f t="shared" si="2"/>
        <v>1518.0912342587544</v>
      </c>
      <c r="I36" s="3">
        <f t="shared" si="3"/>
        <v>653.94876574124555</v>
      </c>
      <c r="J36" s="3">
        <v>0</v>
      </c>
      <c r="K36" s="3">
        <f t="shared" si="4"/>
        <v>63876.71367432618</v>
      </c>
    </row>
    <row r="37" spans="2:11" x14ac:dyDescent="0.3">
      <c r="B37" s="2">
        <v>46490</v>
      </c>
      <c r="C37" s="3">
        <f t="shared" si="5"/>
        <v>63876.71367432618</v>
      </c>
      <c r="D37" s="3">
        <v>30.416699999999999</v>
      </c>
      <c r="E37" s="3">
        <f t="shared" si="0"/>
        <v>638.76783676204172</v>
      </c>
      <c r="F37" s="3">
        <v>0</v>
      </c>
      <c r="G37" s="4">
        <f t="shared" si="1"/>
        <v>2172.04</v>
      </c>
      <c r="H37" s="3">
        <f t="shared" si="2"/>
        <v>1533.2721632379582</v>
      </c>
      <c r="I37" s="3">
        <f t="shared" si="3"/>
        <v>638.76783676204172</v>
      </c>
      <c r="J37" s="3">
        <v>0</v>
      </c>
      <c r="K37" s="3">
        <f t="shared" si="4"/>
        <v>62343.441511088218</v>
      </c>
    </row>
    <row r="38" spans="2:11" x14ac:dyDescent="0.3">
      <c r="B38" s="2">
        <v>46520</v>
      </c>
      <c r="C38" s="3">
        <f t="shared" si="5"/>
        <v>62343.441511088218</v>
      </c>
      <c r="D38" s="3">
        <v>30.416699999999999</v>
      </c>
      <c r="E38" s="3">
        <f t="shared" si="0"/>
        <v>623.43509832667951</v>
      </c>
      <c r="F38" s="3">
        <v>0</v>
      </c>
      <c r="G38" s="4">
        <f t="shared" si="1"/>
        <v>2172.04</v>
      </c>
      <c r="H38" s="3">
        <f t="shared" si="2"/>
        <v>1548.6049016733205</v>
      </c>
      <c r="I38" s="3">
        <f t="shared" si="3"/>
        <v>623.43509832667951</v>
      </c>
      <c r="J38" s="3">
        <v>0</v>
      </c>
      <c r="K38" s="3">
        <f t="shared" si="4"/>
        <v>60794.836609414895</v>
      </c>
    </row>
    <row r="39" spans="2:11" x14ac:dyDescent="0.3">
      <c r="B39" s="2">
        <v>46551</v>
      </c>
      <c r="C39" s="3">
        <f t="shared" si="5"/>
        <v>60794.836609414895</v>
      </c>
      <c r="D39" s="3">
        <v>30.416699999999999</v>
      </c>
      <c r="E39" s="3">
        <f t="shared" si="0"/>
        <v>607.94903233893365</v>
      </c>
      <c r="F39" s="3">
        <v>0</v>
      </c>
      <c r="G39" s="4">
        <f t="shared" si="1"/>
        <v>2172.04</v>
      </c>
      <c r="H39" s="3">
        <f t="shared" si="2"/>
        <v>1564.0909676610663</v>
      </c>
      <c r="I39" s="3">
        <f t="shared" si="3"/>
        <v>607.94903233893365</v>
      </c>
      <c r="J39" s="3">
        <v>0</v>
      </c>
      <c r="K39" s="3">
        <f t="shared" si="4"/>
        <v>59230.745641753827</v>
      </c>
    </row>
    <row r="40" spans="2:11" x14ac:dyDescent="0.3">
      <c r="B40" s="2">
        <v>46581</v>
      </c>
      <c r="C40" s="3">
        <f t="shared" si="5"/>
        <v>59230.745641753827</v>
      </c>
      <c r="D40" s="3">
        <v>30.416699999999999</v>
      </c>
      <c r="E40" s="3">
        <f t="shared" si="0"/>
        <v>592.30810552160005</v>
      </c>
      <c r="F40" s="3">
        <v>0</v>
      </c>
      <c r="G40" s="4">
        <f t="shared" si="1"/>
        <v>2172.04</v>
      </c>
      <c r="H40" s="3">
        <f t="shared" si="2"/>
        <v>1579.7318944783999</v>
      </c>
      <c r="I40" s="3">
        <f t="shared" si="3"/>
        <v>592.30810552160005</v>
      </c>
      <c r="J40" s="3">
        <v>0</v>
      </c>
      <c r="K40" s="3">
        <f t="shared" si="4"/>
        <v>57651.013747275429</v>
      </c>
    </row>
    <row r="41" spans="2:11" x14ac:dyDescent="0.3">
      <c r="B41" s="2">
        <v>46612</v>
      </c>
      <c r="C41" s="3">
        <f t="shared" si="5"/>
        <v>57651.013747275429</v>
      </c>
      <c r="D41" s="3">
        <v>30.416699999999999</v>
      </c>
      <c r="E41" s="3">
        <f t="shared" si="0"/>
        <v>576.51076926468568</v>
      </c>
      <c r="F41" s="3">
        <v>0</v>
      </c>
      <c r="G41" s="4">
        <f t="shared" si="1"/>
        <v>2172.04</v>
      </c>
      <c r="H41" s="3">
        <f t="shared" si="2"/>
        <v>1595.5292307353143</v>
      </c>
      <c r="I41" s="3">
        <f t="shared" si="3"/>
        <v>576.51076926468568</v>
      </c>
      <c r="J41" s="3">
        <v>0</v>
      </c>
      <c r="K41" s="3">
        <f t="shared" si="4"/>
        <v>56055.484516540113</v>
      </c>
    </row>
    <row r="42" spans="2:11" x14ac:dyDescent="0.3">
      <c r="B42" s="2">
        <v>46643</v>
      </c>
      <c r="C42" s="3">
        <f t="shared" si="5"/>
        <v>56055.484516540113</v>
      </c>
      <c r="D42" s="3">
        <v>30.416699999999999</v>
      </c>
      <c r="E42" s="3">
        <f t="shared" ref="E42:E71" si="6">C42*$C$3*D42/365</f>
        <v>560.55545947208066</v>
      </c>
      <c r="F42" s="3">
        <v>0</v>
      </c>
      <c r="G42" s="4">
        <f t="shared" ref="G42:G71" si="7">$C$5</f>
        <v>2172.04</v>
      </c>
      <c r="H42" s="3">
        <f t="shared" ref="H42:H71" si="8">G42-E42</f>
        <v>1611.4845405279193</v>
      </c>
      <c r="I42" s="3">
        <f t="shared" ref="I42:I71" si="9">E42</f>
        <v>560.55545947208066</v>
      </c>
      <c r="J42" s="3">
        <v>0</v>
      </c>
      <c r="K42" s="3">
        <f t="shared" ref="K42:K71" si="10">C42 - H42</f>
        <v>54443.999976012194</v>
      </c>
    </row>
    <row r="43" spans="2:11" x14ac:dyDescent="0.3">
      <c r="B43" s="2">
        <v>46673</v>
      </c>
      <c r="C43" s="3">
        <f t="shared" ref="C43:C71" si="11">K42</f>
        <v>54443.999976012194</v>
      </c>
      <c r="D43" s="3">
        <v>30.416699999999999</v>
      </c>
      <c r="E43" s="3">
        <f t="shared" si="6"/>
        <v>544.44059640669695</v>
      </c>
      <c r="F43" s="3">
        <v>0</v>
      </c>
      <c r="G43" s="4">
        <f t="shared" si="7"/>
        <v>2172.04</v>
      </c>
      <c r="H43" s="3">
        <f t="shared" si="8"/>
        <v>1627.5994035933031</v>
      </c>
      <c r="I43" s="3">
        <f t="shared" si="9"/>
        <v>544.44059640669695</v>
      </c>
      <c r="J43" s="3">
        <v>0</v>
      </c>
      <c r="K43" s="3">
        <f t="shared" si="10"/>
        <v>52816.40057241889</v>
      </c>
    </row>
    <row r="44" spans="2:11" x14ac:dyDescent="0.3">
      <c r="B44" s="2">
        <v>46704</v>
      </c>
      <c r="C44" s="3">
        <f t="shared" si="11"/>
        <v>52816.40057241889</v>
      </c>
      <c r="D44" s="3">
        <v>30.416699999999999</v>
      </c>
      <c r="E44" s="3">
        <f t="shared" si="6"/>
        <v>528.16458453405812</v>
      </c>
      <c r="F44" s="3">
        <v>0</v>
      </c>
      <c r="G44" s="4">
        <f t="shared" si="7"/>
        <v>2172.04</v>
      </c>
      <c r="H44" s="3">
        <f t="shared" si="8"/>
        <v>1643.8754154659418</v>
      </c>
      <c r="I44" s="3">
        <f t="shared" si="9"/>
        <v>528.16458453405812</v>
      </c>
      <c r="J44" s="3">
        <v>0</v>
      </c>
      <c r="K44" s="3">
        <f t="shared" si="10"/>
        <v>51172.52515695295</v>
      </c>
    </row>
    <row r="45" spans="2:11" x14ac:dyDescent="0.3">
      <c r="B45" s="2">
        <v>46734</v>
      </c>
      <c r="C45" s="3">
        <f t="shared" si="11"/>
        <v>51172.52515695295</v>
      </c>
      <c r="D45" s="3">
        <v>30.416699999999999</v>
      </c>
      <c r="E45" s="3">
        <f t="shared" si="6"/>
        <v>511.72581236432575</v>
      </c>
      <c r="F45" s="3">
        <v>0</v>
      </c>
      <c r="G45" s="4">
        <f t="shared" si="7"/>
        <v>2172.04</v>
      </c>
      <c r="H45" s="3">
        <f t="shared" si="8"/>
        <v>1660.3141876356742</v>
      </c>
      <c r="I45" s="3">
        <f t="shared" si="9"/>
        <v>511.72581236432575</v>
      </c>
      <c r="J45" s="3">
        <v>0</v>
      </c>
      <c r="K45" s="3">
        <f t="shared" si="10"/>
        <v>49512.210969317275</v>
      </c>
    </row>
    <row r="46" spans="2:11" x14ac:dyDescent="0.3">
      <c r="B46" s="2">
        <v>46765</v>
      </c>
      <c r="C46" s="3">
        <f t="shared" si="11"/>
        <v>49512.210969317275</v>
      </c>
      <c r="D46" s="3">
        <v>30.416699999999999</v>
      </c>
      <c r="E46" s="3">
        <f t="shared" si="6"/>
        <v>495.12265229274499</v>
      </c>
      <c r="F46" s="3">
        <v>0</v>
      </c>
      <c r="G46" s="4">
        <f t="shared" si="7"/>
        <v>2172.04</v>
      </c>
      <c r="H46" s="3">
        <f t="shared" si="8"/>
        <v>1676.917347707255</v>
      </c>
      <c r="I46" s="3">
        <f t="shared" si="9"/>
        <v>495.12265229274499</v>
      </c>
      <c r="J46" s="3">
        <v>0</v>
      </c>
      <c r="K46" s="3">
        <f t="shared" si="10"/>
        <v>47835.293621610021</v>
      </c>
    </row>
    <row r="47" spans="2:11" x14ac:dyDescent="0.3">
      <c r="B47" s="2">
        <v>46796</v>
      </c>
      <c r="C47" s="3">
        <f t="shared" si="11"/>
        <v>47835.293621610021</v>
      </c>
      <c r="D47" s="3">
        <v>30.416699999999999</v>
      </c>
      <c r="E47" s="3">
        <f t="shared" si="6"/>
        <v>478.35346043849603</v>
      </c>
      <c r="F47" s="3">
        <v>0</v>
      </c>
      <c r="G47" s="4">
        <f t="shared" si="7"/>
        <v>2172.04</v>
      </c>
      <c r="H47" s="3">
        <f t="shared" si="8"/>
        <v>1693.6865395615039</v>
      </c>
      <c r="I47" s="3">
        <f t="shared" si="9"/>
        <v>478.35346043849603</v>
      </c>
      <c r="J47" s="3">
        <v>0</v>
      </c>
      <c r="K47" s="3">
        <f t="shared" si="10"/>
        <v>46141.607082048518</v>
      </c>
    </row>
    <row r="48" spans="2:11" x14ac:dyDescent="0.3">
      <c r="B48" s="2">
        <v>46825</v>
      </c>
      <c r="C48" s="3">
        <f t="shared" si="11"/>
        <v>46141.607082048518</v>
      </c>
      <c r="D48" s="3">
        <v>30.416699999999999</v>
      </c>
      <c r="E48" s="3">
        <f t="shared" si="6"/>
        <v>461.41657648193257</v>
      </c>
      <c r="F48" s="3">
        <v>0</v>
      </c>
      <c r="G48" s="4">
        <f t="shared" si="7"/>
        <v>2172.04</v>
      </c>
      <c r="H48" s="3">
        <f t="shared" si="8"/>
        <v>1710.6234235180673</v>
      </c>
      <c r="I48" s="3">
        <f t="shared" si="9"/>
        <v>461.41657648193257</v>
      </c>
      <c r="J48" s="3">
        <v>0</v>
      </c>
      <c r="K48" s="3">
        <f t="shared" si="10"/>
        <v>44430.983658530451</v>
      </c>
    </row>
    <row r="49" spans="2:11" x14ac:dyDescent="0.3">
      <c r="B49" s="2">
        <v>46856</v>
      </c>
      <c r="C49" s="3">
        <f t="shared" si="11"/>
        <v>44430.983658530451</v>
      </c>
      <c r="D49" s="3">
        <v>30.416699999999999</v>
      </c>
      <c r="E49" s="3">
        <f t="shared" si="6"/>
        <v>444.31032350019387</v>
      </c>
      <c r="F49" s="3">
        <v>0</v>
      </c>
      <c r="G49" s="4">
        <f t="shared" si="7"/>
        <v>2172.04</v>
      </c>
      <c r="H49" s="3">
        <f t="shared" si="8"/>
        <v>1727.7296764998061</v>
      </c>
      <c r="I49" s="3">
        <f t="shared" si="9"/>
        <v>444.31032350019387</v>
      </c>
      <c r="J49" s="3">
        <v>0</v>
      </c>
      <c r="K49" s="3">
        <f t="shared" si="10"/>
        <v>42703.253982030648</v>
      </c>
    </row>
    <row r="50" spans="2:11" x14ac:dyDescent="0.3">
      <c r="B50" s="2">
        <v>46886</v>
      </c>
      <c r="C50" s="3">
        <f t="shared" si="11"/>
        <v>42703.253982030648</v>
      </c>
      <c r="D50" s="3">
        <v>30.416699999999999</v>
      </c>
      <c r="E50" s="3">
        <f t="shared" si="6"/>
        <v>427.033007801172</v>
      </c>
      <c r="F50" s="3">
        <v>0</v>
      </c>
      <c r="G50" s="4">
        <f t="shared" si="7"/>
        <v>2172.04</v>
      </c>
      <c r="H50" s="3">
        <f t="shared" si="8"/>
        <v>1745.0069921988279</v>
      </c>
      <c r="I50" s="3">
        <f t="shared" si="9"/>
        <v>427.033007801172</v>
      </c>
      <c r="J50" s="3">
        <v>0</v>
      </c>
      <c r="K50" s="3">
        <f t="shared" si="10"/>
        <v>40958.246989831823</v>
      </c>
    </row>
    <row r="51" spans="2:11" x14ac:dyDescent="0.3">
      <c r="B51" s="2">
        <v>46917</v>
      </c>
      <c r="C51" s="3">
        <f t="shared" si="11"/>
        <v>40958.246989831823</v>
      </c>
      <c r="D51" s="3">
        <v>30.416699999999999</v>
      </c>
      <c r="E51" s="3">
        <f t="shared" si="6"/>
        <v>409.58291875581955</v>
      </c>
      <c r="F51" s="3">
        <v>0</v>
      </c>
      <c r="G51" s="4">
        <f t="shared" si="7"/>
        <v>2172.04</v>
      </c>
      <c r="H51" s="3">
        <f t="shared" si="8"/>
        <v>1762.4570812441805</v>
      </c>
      <c r="I51" s="3">
        <f t="shared" si="9"/>
        <v>409.58291875581955</v>
      </c>
      <c r="J51" s="3">
        <v>0</v>
      </c>
      <c r="K51" s="3">
        <f t="shared" si="10"/>
        <v>39195.789908587642</v>
      </c>
    </row>
    <row r="52" spans="2:11" x14ac:dyDescent="0.3">
      <c r="B52" s="2">
        <v>46947</v>
      </c>
      <c r="C52" s="3">
        <f t="shared" si="11"/>
        <v>39195.789908587642</v>
      </c>
      <c r="D52" s="3">
        <v>30.416699999999999</v>
      </c>
      <c r="E52" s="3">
        <f t="shared" si="6"/>
        <v>391.9583286287795</v>
      </c>
      <c r="F52" s="3">
        <v>0</v>
      </c>
      <c r="G52" s="4">
        <f t="shared" si="7"/>
        <v>2172.04</v>
      </c>
      <c r="H52" s="3">
        <f t="shared" si="8"/>
        <v>1780.0816713712204</v>
      </c>
      <c r="I52" s="3">
        <f t="shared" si="9"/>
        <v>391.9583286287795</v>
      </c>
      <c r="J52" s="3">
        <v>0</v>
      </c>
      <c r="K52" s="3">
        <f t="shared" si="10"/>
        <v>37415.708237216422</v>
      </c>
    </row>
    <row r="53" spans="2:11" x14ac:dyDescent="0.3">
      <c r="B53" s="2">
        <v>46978</v>
      </c>
      <c r="C53" s="3">
        <f t="shared" si="11"/>
        <v>37415.708237216422</v>
      </c>
      <c r="D53" s="3">
        <v>30.416699999999999</v>
      </c>
      <c r="E53" s="3">
        <f t="shared" si="6"/>
        <v>374.15749240732293</v>
      </c>
      <c r="F53" s="3">
        <v>0</v>
      </c>
      <c r="G53" s="4">
        <f t="shared" si="7"/>
        <v>2172.04</v>
      </c>
      <c r="H53" s="3">
        <f t="shared" si="8"/>
        <v>1797.882507592677</v>
      </c>
      <c r="I53" s="3">
        <f t="shared" si="9"/>
        <v>374.15749240732293</v>
      </c>
      <c r="J53" s="3">
        <v>0</v>
      </c>
      <c r="K53" s="3">
        <f t="shared" si="10"/>
        <v>35617.825729623743</v>
      </c>
    </row>
    <row r="54" spans="2:11" x14ac:dyDescent="0.3">
      <c r="B54" s="2">
        <v>47009</v>
      </c>
      <c r="C54" s="3">
        <f t="shared" si="11"/>
        <v>35617.825729623743</v>
      </c>
      <c r="D54" s="3">
        <v>30.416699999999999</v>
      </c>
      <c r="E54" s="3">
        <f t="shared" si="6"/>
        <v>356.17864762857414</v>
      </c>
      <c r="F54" s="3">
        <v>0</v>
      </c>
      <c r="G54" s="4">
        <f t="shared" si="7"/>
        <v>2172.04</v>
      </c>
      <c r="H54" s="3">
        <f t="shared" si="8"/>
        <v>1815.8613523714257</v>
      </c>
      <c r="I54" s="3">
        <f t="shared" si="9"/>
        <v>356.17864762857414</v>
      </c>
      <c r="J54" s="3">
        <v>0</v>
      </c>
      <c r="K54" s="3">
        <f t="shared" si="10"/>
        <v>33801.96437725232</v>
      </c>
    </row>
    <row r="55" spans="2:11" x14ac:dyDescent="0.3">
      <c r="B55" s="2">
        <v>47039</v>
      </c>
      <c r="C55" s="3">
        <f t="shared" si="11"/>
        <v>33801.96437725232</v>
      </c>
      <c r="D55" s="3">
        <v>30.416699999999999</v>
      </c>
      <c r="E55" s="3">
        <f t="shared" si="6"/>
        <v>338.02001420500949</v>
      </c>
      <c r="F55" s="3">
        <v>0</v>
      </c>
      <c r="G55" s="4">
        <f t="shared" si="7"/>
        <v>2172.04</v>
      </c>
      <c r="H55" s="3">
        <f t="shared" si="8"/>
        <v>1834.0199857949906</v>
      </c>
      <c r="I55" s="3">
        <f t="shared" si="9"/>
        <v>338.02001420500949</v>
      </c>
      <c r="J55" s="3">
        <v>0</v>
      </c>
      <c r="K55" s="3">
        <f t="shared" si="10"/>
        <v>31967.944391457328</v>
      </c>
    </row>
    <row r="56" spans="2:11" x14ac:dyDescent="0.3">
      <c r="B56" s="2">
        <v>47070</v>
      </c>
      <c r="C56" s="3">
        <f t="shared" si="11"/>
        <v>31967.944391457328</v>
      </c>
      <c r="D56" s="3">
        <v>30.416699999999999</v>
      </c>
      <c r="E56" s="3">
        <f t="shared" si="6"/>
        <v>319.67979424821044</v>
      </c>
      <c r="F56" s="3">
        <v>0</v>
      </c>
      <c r="G56" s="4">
        <f t="shared" si="7"/>
        <v>2172.04</v>
      </c>
      <c r="H56" s="3">
        <f t="shared" si="8"/>
        <v>1852.3602057517896</v>
      </c>
      <c r="I56" s="3">
        <f t="shared" si="9"/>
        <v>319.67979424821044</v>
      </c>
      <c r="J56" s="3">
        <v>0</v>
      </c>
      <c r="K56" s="3">
        <f t="shared" si="10"/>
        <v>30115.584185705538</v>
      </c>
    </row>
    <row r="57" spans="2:11" x14ac:dyDescent="0.3">
      <c r="B57" s="2">
        <v>47100</v>
      </c>
      <c r="C57" s="3">
        <f t="shared" si="11"/>
        <v>30115.584185705538</v>
      </c>
      <c r="D57" s="3">
        <v>30.416699999999999</v>
      </c>
      <c r="E57" s="3">
        <f t="shared" si="6"/>
        <v>301.15617189085464</v>
      </c>
      <c r="F57" s="3">
        <v>0</v>
      </c>
      <c r="G57" s="4">
        <f t="shared" si="7"/>
        <v>2172.04</v>
      </c>
      <c r="H57" s="3">
        <f t="shared" si="8"/>
        <v>1870.8838281091453</v>
      </c>
      <c r="I57" s="3">
        <f t="shared" si="9"/>
        <v>301.15617189085464</v>
      </c>
      <c r="J57" s="3">
        <v>0</v>
      </c>
      <c r="K57" s="3">
        <f t="shared" si="10"/>
        <v>28244.700357596394</v>
      </c>
    </row>
    <row r="58" spans="2:11" x14ac:dyDescent="0.3">
      <c r="B58" s="2">
        <v>47131</v>
      </c>
      <c r="C58" s="3">
        <f t="shared" si="11"/>
        <v>28244.700357596394</v>
      </c>
      <c r="D58" s="3">
        <v>30.416699999999999</v>
      </c>
      <c r="E58" s="3">
        <f t="shared" si="6"/>
        <v>282.44731310692674</v>
      </c>
      <c r="F58" s="3">
        <v>0</v>
      </c>
      <c r="G58" s="4">
        <f t="shared" si="7"/>
        <v>2172.04</v>
      </c>
      <c r="H58" s="3">
        <f t="shared" si="8"/>
        <v>1889.5926868930733</v>
      </c>
      <c r="I58" s="3">
        <f t="shared" si="9"/>
        <v>282.44731310692674</v>
      </c>
      <c r="J58" s="3">
        <v>0</v>
      </c>
      <c r="K58" s="3">
        <f t="shared" si="10"/>
        <v>26355.107670703321</v>
      </c>
    </row>
    <row r="59" spans="2:11" x14ac:dyDescent="0.3">
      <c r="B59" s="2">
        <v>47162</v>
      </c>
      <c r="C59" s="3">
        <f t="shared" si="11"/>
        <v>26355.107670703321</v>
      </c>
      <c r="D59" s="3">
        <v>30.416699999999999</v>
      </c>
      <c r="E59" s="3">
        <f t="shared" si="6"/>
        <v>263.55136553013097</v>
      </c>
      <c r="F59" s="3">
        <v>0</v>
      </c>
      <c r="G59" s="4">
        <f t="shared" si="7"/>
        <v>2172.04</v>
      </c>
      <c r="H59" s="3">
        <f t="shared" si="8"/>
        <v>1908.4886344698689</v>
      </c>
      <c r="I59" s="3">
        <f t="shared" si="9"/>
        <v>263.55136553013097</v>
      </c>
      <c r="J59" s="3">
        <v>0</v>
      </c>
      <c r="K59" s="3">
        <f t="shared" si="10"/>
        <v>24446.619036233453</v>
      </c>
    </row>
    <row r="60" spans="2:11" x14ac:dyDescent="0.3">
      <c r="B60" s="2">
        <v>47190</v>
      </c>
      <c r="C60" s="3">
        <f t="shared" si="11"/>
        <v>24446.619036233453</v>
      </c>
      <c r="D60" s="3">
        <v>30.416699999999999</v>
      </c>
      <c r="E60" s="3">
        <f t="shared" si="6"/>
        <v>244.46645827048832</v>
      </c>
      <c r="F60" s="3">
        <v>0</v>
      </c>
      <c r="G60" s="4">
        <f t="shared" si="7"/>
        <v>2172.04</v>
      </c>
      <c r="H60" s="3">
        <f t="shared" si="8"/>
        <v>1927.5735417295116</v>
      </c>
      <c r="I60" s="3">
        <f t="shared" si="9"/>
        <v>244.46645827048832</v>
      </c>
      <c r="J60" s="3">
        <v>0</v>
      </c>
      <c r="K60" s="3">
        <f t="shared" si="10"/>
        <v>22519.045494503942</v>
      </c>
    </row>
    <row r="61" spans="2:11" x14ac:dyDescent="0.3">
      <c r="B61" s="2">
        <v>47221</v>
      </c>
      <c r="C61" s="3">
        <f t="shared" si="11"/>
        <v>22519.045494503942</v>
      </c>
      <c r="D61" s="3">
        <v>30.416699999999999</v>
      </c>
      <c r="E61" s="3">
        <f t="shared" si="6"/>
        <v>225.1907017290996</v>
      </c>
      <c r="F61" s="3">
        <v>0</v>
      </c>
      <c r="G61" s="4">
        <f t="shared" si="7"/>
        <v>2172.04</v>
      </c>
      <c r="H61" s="3">
        <f t="shared" si="8"/>
        <v>1946.8492982709004</v>
      </c>
      <c r="I61" s="3">
        <f t="shared" si="9"/>
        <v>225.1907017290996</v>
      </c>
      <c r="J61" s="3">
        <v>0</v>
      </c>
      <c r="K61" s="3">
        <f t="shared" si="10"/>
        <v>20572.196196233042</v>
      </c>
    </row>
    <row r="62" spans="2:11" x14ac:dyDescent="0.3">
      <c r="B62" s="2">
        <v>47251</v>
      </c>
      <c r="C62" s="3">
        <f t="shared" si="11"/>
        <v>20572.196196233042</v>
      </c>
      <c r="D62" s="3">
        <v>30.416699999999999</v>
      </c>
      <c r="E62" s="3">
        <f t="shared" si="6"/>
        <v>205.72218741105584</v>
      </c>
      <c r="F62" s="3">
        <v>0</v>
      </c>
      <c r="G62" s="4">
        <f t="shared" si="7"/>
        <v>2172.04</v>
      </c>
      <c r="H62" s="3">
        <f t="shared" si="8"/>
        <v>1966.3178125889442</v>
      </c>
      <c r="I62" s="3">
        <f t="shared" si="9"/>
        <v>205.72218741105584</v>
      </c>
      <c r="J62" s="3">
        <v>0</v>
      </c>
      <c r="K62" s="3">
        <f t="shared" si="10"/>
        <v>18605.8783836441</v>
      </c>
    </row>
    <row r="63" spans="2:11" x14ac:dyDescent="0.3">
      <c r="B63" s="2">
        <v>47282</v>
      </c>
      <c r="C63" s="3">
        <f t="shared" si="11"/>
        <v>18605.8783836441</v>
      </c>
      <c r="D63" s="3">
        <v>30.416699999999999</v>
      </c>
      <c r="E63" s="3">
        <f t="shared" si="6"/>
        <v>186.05898773647806</v>
      </c>
      <c r="F63" s="3">
        <v>0</v>
      </c>
      <c r="G63" s="4">
        <f t="shared" si="7"/>
        <v>2172.04</v>
      </c>
      <c r="H63" s="3">
        <f t="shared" si="8"/>
        <v>1985.981012263522</v>
      </c>
      <c r="I63" s="3">
        <f t="shared" si="9"/>
        <v>186.05898773647806</v>
      </c>
      <c r="J63" s="3">
        <v>0</v>
      </c>
      <c r="K63" s="3">
        <f t="shared" si="10"/>
        <v>16619.897371380579</v>
      </c>
    </row>
    <row r="64" spans="2:11" x14ac:dyDescent="0.3">
      <c r="B64" s="2">
        <v>47312</v>
      </c>
      <c r="C64" s="3">
        <f t="shared" si="11"/>
        <v>16619.897371380579</v>
      </c>
      <c r="D64" s="3">
        <v>30.416699999999999</v>
      </c>
      <c r="E64" s="3">
        <f t="shared" si="6"/>
        <v>166.19915584966739</v>
      </c>
      <c r="F64" s="3">
        <v>0</v>
      </c>
      <c r="G64" s="4">
        <f t="shared" si="7"/>
        <v>2172.04</v>
      </c>
      <c r="H64" s="3">
        <f t="shared" si="8"/>
        <v>2005.8408441503325</v>
      </c>
      <c r="I64" s="3">
        <f t="shared" si="9"/>
        <v>166.19915584966739</v>
      </c>
      <c r="J64" s="3">
        <v>0</v>
      </c>
      <c r="K64" s="3">
        <f t="shared" si="10"/>
        <v>14614.056527230247</v>
      </c>
    </row>
    <row r="65" spans="2:11" x14ac:dyDescent="0.3">
      <c r="B65" s="2">
        <v>47343</v>
      </c>
      <c r="C65" s="3">
        <f t="shared" si="11"/>
        <v>14614.056527230247</v>
      </c>
      <c r="D65" s="3">
        <v>30.416699999999999</v>
      </c>
      <c r="E65" s="3">
        <f t="shared" si="6"/>
        <v>146.14072542634659</v>
      </c>
      <c r="F65" s="3">
        <v>0</v>
      </c>
      <c r="G65" s="4">
        <f t="shared" si="7"/>
        <v>2172.04</v>
      </c>
      <c r="H65" s="3">
        <f t="shared" si="8"/>
        <v>2025.8992745736534</v>
      </c>
      <c r="I65" s="3">
        <f t="shared" si="9"/>
        <v>146.14072542634659</v>
      </c>
      <c r="J65" s="3">
        <v>0</v>
      </c>
      <c r="K65" s="3">
        <f t="shared" si="10"/>
        <v>12588.157252656592</v>
      </c>
    </row>
    <row r="66" spans="2:11" x14ac:dyDescent="0.3">
      <c r="B66" s="2">
        <v>47374</v>
      </c>
      <c r="C66" s="3">
        <f t="shared" si="11"/>
        <v>12588.157252656592</v>
      </c>
      <c r="D66" s="3">
        <v>30.416699999999999</v>
      </c>
      <c r="E66" s="3">
        <f t="shared" si="6"/>
        <v>125.88171047897418</v>
      </c>
      <c r="F66" s="3">
        <v>0</v>
      </c>
      <c r="G66" s="4">
        <f t="shared" si="7"/>
        <v>2172.04</v>
      </c>
      <c r="H66" s="3">
        <f t="shared" si="8"/>
        <v>2046.1582895210258</v>
      </c>
      <c r="I66" s="3">
        <f t="shared" si="9"/>
        <v>125.88171047897418</v>
      </c>
      <c r="J66" s="3">
        <v>0</v>
      </c>
      <c r="K66" s="3">
        <f t="shared" si="10"/>
        <v>10541.998963135567</v>
      </c>
    </row>
    <row r="67" spans="2:11" x14ac:dyDescent="0.3">
      <c r="B67" s="2">
        <v>47404</v>
      </c>
      <c r="C67" s="3">
        <f t="shared" si="11"/>
        <v>10541.998963135567</v>
      </c>
      <c r="D67" s="3">
        <v>30.416699999999999</v>
      </c>
      <c r="E67" s="3">
        <f t="shared" si="6"/>
        <v>105.42010516011143</v>
      </c>
      <c r="F67" s="3">
        <v>0</v>
      </c>
      <c r="G67" s="4">
        <f t="shared" si="7"/>
        <v>2172.04</v>
      </c>
      <c r="H67" s="3">
        <f t="shared" si="8"/>
        <v>2066.6198948398887</v>
      </c>
      <c r="I67" s="3">
        <f t="shared" si="9"/>
        <v>105.42010516011143</v>
      </c>
      <c r="J67" s="3">
        <v>0</v>
      </c>
      <c r="K67" s="3">
        <f t="shared" si="10"/>
        <v>8475.3790682956787</v>
      </c>
    </row>
    <row r="68" spans="2:11" x14ac:dyDescent="0.3">
      <c r="B68" s="2">
        <v>47435</v>
      </c>
      <c r="C68" s="3">
        <f t="shared" si="11"/>
        <v>8475.3790682956787</v>
      </c>
      <c r="D68" s="3">
        <v>30.416699999999999</v>
      </c>
      <c r="E68" s="3">
        <f t="shared" si="6"/>
        <v>84.75388356382328</v>
      </c>
      <c r="F68" s="3">
        <v>0</v>
      </c>
      <c r="G68" s="4">
        <f t="shared" si="7"/>
        <v>2172.04</v>
      </c>
      <c r="H68" s="3">
        <f t="shared" si="8"/>
        <v>2087.2861164361766</v>
      </c>
      <c r="I68" s="3">
        <f t="shared" si="9"/>
        <v>84.75388356382328</v>
      </c>
      <c r="J68" s="3">
        <v>0</v>
      </c>
      <c r="K68" s="3">
        <f t="shared" si="10"/>
        <v>6388.0929518595021</v>
      </c>
    </row>
    <row r="69" spans="2:11" x14ac:dyDescent="0.3">
      <c r="B69" s="2">
        <v>47465</v>
      </c>
      <c r="C69" s="3">
        <f t="shared" si="11"/>
        <v>6388.0929518595021</v>
      </c>
      <c r="D69" s="3">
        <v>30.416699999999999</v>
      </c>
      <c r="E69" s="3">
        <f t="shared" si="6"/>
        <v>63.880999525093117</v>
      </c>
      <c r="F69" s="3">
        <v>0</v>
      </c>
      <c r="G69" s="4">
        <f t="shared" si="7"/>
        <v>2172.04</v>
      </c>
      <c r="H69" s="3">
        <f t="shared" si="8"/>
        <v>2108.1590004749069</v>
      </c>
      <c r="I69" s="3">
        <f t="shared" si="9"/>
        <v>63.880999525093117</v>
      </c>
      <c r="J69" s="3">
        <v>0</v>
      </c>
      <c r="K69" s="3">
        <f t="shared" si="10"/>
        <v>4279.9339513845953</v>
      </c>
    </row>
    <row r="70" spans="2:11" x14ac:dyDescent="0.3">
      <c r="B70" s="2">
        <v>47496</v>
      </c>
      <c r="C70" s="3">
        <f t="shared" si="11"/>
        <v>4279.9339513845953</v>
      </c>
      <c r="D70" s="3">
        <v>30.416699999999999</v>
      </c>
      <c r="E70" s="3">
        <f t="shared" si="6"/>
        <v>42.799386417231716</v>
      </c>
      <c r="F70" s="3">
        <v>0</v>
      </c>
      <c r="G70" s="4">
        <f t="shared" si="7"/>
        <v>2172.04</v>
      </c>
      <c r="H70" s="3">
        <f t="shared" si="8"/>
        <v>2129.2406135827682</v>
      </c>
      <c r="I70" s="3">
        <f t="shared" si="9"/>
        <v>42.799386417231716</v>
      </c>
      <c r="J70" s="3">
        <v>0</v>
      </c>
      <c r="K70" s="3">
        <f t="shared" si="10"/>
        <v>2150.6933378018271</v>
      </c>
    </row>
    <row r="71" spans="2:11" x14ac:dyDescent="0.3">
      <c r="B71" s="2">
        <v>47527</v>
      </c>
      <c r="C71" s="3">
        <f t="shared" si="11"/>
        <v>2150.6933378018271</v>
      </c>
      <c r="D71" s="3">
        <v>30.416699999999999</v>
      </c>
      <c r="E71" s="3">
        <f t="shared" si="6"/>
        <v>21.506956947260328</v>
      </c>
      <c r="F71" s="3">
        <v>0</v>
      </c>
      <c r="G71" s="4">
        <f t="shared" si="7"/>
        <v>2172.04</v>
      </c>
      <c r="H71" s="3">
        <f t="shared" si="8"/>
        <v>2150.5330430527397</v>
      </c>
      <c r="I71" s="3">
        <f t="shared" si="9"/>
        <v>21.506956947260328</v>
      </c>
      <c r="J71" s="3">
        <v>0</v>
      </c>
      <c r="K71" s="3">
        <f t="shared" si="10"/>
        <v>0.16029474908737029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C9451-BF2B-4C50-9410-14832DAAF86D}">
  <sheetPr codeName="Sheet30"/>
  <dimension ref="B2:S71"/>
  <sheetViews>
    <sheetView topLeftCell="A11" workbookViewId="0">
      <selection activeCell="N11" sqref="N11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5" width="10.6640625" bestFit="1" customWidth="1"/>
    <col min="16" max="16" width="9.77734375" bestFit="1" customWidth="1"/>
    <col min="17" max="18" width="9.109375" bestFit="1" customWidth="1"/>
  </cols>
  <sheetData>
    <row r="2" spans="2:19" x14ac:dyDescent="0.3">
      <c r="B2" s="2" t="s">
        <v>0</v>
      </c>
      <c r="C2" s="3">
        <v>100000</v>
      </c>
    </row>
    <row r="3" spans="2:19" x14ac:dyDescent="0.3">
      <c r="B3" s="2" t="s">
        <v>1</v>
      </c>
      <c r="C3" s="3">
        <v>0.12</v>
      </c>
    </row>
    <row r="4" spans="2:19" x14ac:dyDescent="0.3">
      <c r="B4" s="2" t="s">
        <v>2</v>
      </c>
      <c r="C4" s="3">
        <v>62</v>
      </c>
    </row>
    <row r="5" spans="2:19" x14ac:dyDescent="0.3">
      <c r="B5" s="2" t="s">
        <v>3</v>
      </c>
      <c r="C5" s="3">
        <v>2172.04</v>
      </c>
    </row>
    <row r="6" spans="2:19" x14ac:dyDescent="0.3">
      <c r="B6" s="2" t="s">
        <v>4</v>
      </c>
      <c r="C6" s="3" t="s">
        <v>28</v>
      </c>
    </row>
    <row r="9" spans="2:19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</row>
    <row r="10" spans="2:19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2172.04</v>
      </c>
      <c r="H10" s="3">
        <f t="shared" ref="H10:H41" si="2">G10-E10</f>
        <v>1172.04</v>
      </c>
      <c r="I10" s="3">
        <f t="shared" ref="I10:I41" si="3">E10</f>
        <v>1000</v>
      </c>
      <c r="J10" s="3">
        <v>0</v>
      </c>
      <c r="K10" s="3">
        <f t="shared" ref="K10:K41" si="4">C10 - H10</f>
        <v>98827.96</v>
      </c>
      <c r="M10" t="s">
        <v>20</v>
      </c>
      <c r="N10" s="3">
        <f>SUM(G12:G23)</f>
        <v>26064.480000000007</v>
      </c>
      <c r="O10" s="3">
        <f>SUM(G24:G35)</f>
        <v>26064.480000000007</v>
      </c>
      <c r="P10" s="3">
        <f>SUM(G36:G47)</f>
        <v>26064.480000000007</v>
      </c>
      <c r="Q10" s="3">
        <f>SUM(G48:G59)</f>
        <v>26064.480000000007</v>
      </c>
      <c r="R10" s="3">
        <f>SUM(G60:G71)</f>
        <v>26064.480000000007</v>
      </c>
      <c r="S10">
        <f>N10/G10</f>
        <v>12.000000000000004</v>
      </c>
    </row>
    <row r="11" spans="2:19" x14ac:dyDescent="0.3">
      <c r="B11" s="2">
        <v>45701</v>
      </c>
      <c r="C11" s="3">
        <f t="shared" ref="C11:C42" si="5">K10</f>
        <v>98827.96</v>
      </c>
      <c r="D11" s="3">
        <v>30.416699999999999</v>
      </c>
      <c r="E11" s="3">
        <f t="shared" si="0"/>
        <v>988.28068304613703</v>
      </c>
      <c r="F11" s="3">
        <v>0</v>
      </c>
      <c r="G11" s="3">
        <f t="shared" si="1"/>
        <v>2172.04</v>
      </c>
      <c r="H11" s="3">
        <f t="shared" si="2"/>
        <v>1183.7593169538629</v>
      </c>
      <c r="I11" s="3">
        <f t="shared" si="3"/>
        <v>988.28068304613703</v>
      </c>
      <c r="J11" s="3">
        <v>0</v>
      </c>
      <c r="K11" s="3">
        <f t="shared" si="4"/>
        <v>97644.200683046147</v>
      </c>
      <c r="M11" t="s">
        <v>21</v>
      </c>
      <c r="N11" s="3">
        <f>SUM(G24:G71)</f>
        <v>104257.91999999991</v>
      </c>
      <c r="O11" s="3">
        <f>SUM(G36:G71)</f>
        <v>78193.439999999988</v>
      </c>
      <c r="P11" s="3">
        <f>SUM(G48:G71)</f>
        <v>52128.960000000014</v>
      </c>
      <c r="Q11" s="3">
        <f>SUM(G60:G71)</f>
        <v>26064.480000000007</v>
      </c>
      <c r="S11">
        <f t="shared" ref="S11:S12" si="6">N11/G11</f>
        <v>47.999999999999957</v>
      </c>
    </row>
    <row r="12" spans="2:19" x14ac:dyDescent="0.3">
      <c r="B12" s="2">
        <v>45729</v>
      </c>
      <c r="C12" s="3">
        <f t="shared" si="5"/>
        <v>97644.200683046147</v>
      </c>
      <c r="D12" s="3">
        <v>30.416699999999999</v>
      </c>
      <c r="E12" s="3">
        <f t="shared" si="0"/>
        <v>976.44307690389348</v>
      </c>
      <c r="F12" s="3">
        <v>0</v>
      </c>
      <c r="G12" s="3">
        <f t="shared" si="1"/>
        <v>2172.04</v>
      </c>
      <c r="H12" s="3">
        <f t="shared" si="2"/>
        <v>1195.5969230961064</v>
      </c>
      <c r="I12" s="3">
        <f t="shared" si="3"/>
        <v>976.44307690389348</v>
      </c>
      <c r="J12" s="3">
        <v>0</v>
      </c>
      <c r="K12" s="3">
        <f t="shared" si="4"/>
        <v>96448.603759950041</v>
      </c>
      <c r="M12" t="s">
        <v>22</v>
      </c>
      <c r="N12" s="3">
        <f>SUM(G71:G72)</f>
        <v>2172.04</v>
      </c>
      <c r="S12">
        <f t="shared" si="6"/>
        <v>1</v>
      </c>
    </row>
    <row r="13" spans="2:19" x14ac:dyDescent="0.3">
      <c r="B13" s="2">
        <v>45760</v>
      </c>
      <c r="C13" s="3">
        <f t="shared" si="5"/>
        <v>96448.603759950041</v>
      </c>
      <c r="D13" s="3">
        <v>30.416699999999999</v>
      </c>
      <c r="E13" s="3">
        <f t="shared" si="0"/>
        <v>964.48709457050052</v>
      </c>
      <c r="F13" s="3">
        <v>0</v>
      </c>
      <c r="G13" s="3">
        <f t="shared" si="1"/>
        <v>2172.04</v>
      </c>
      <c r="H13" s="3">
        <f t="shared" si="2"/>
        <v>1207.5529054294993</v>
      </c>
      <c r="I13" s="3">
        <f t="shared" si="3"/>
        <v>964.48709457050052</v>
      </c>
      <c r="J13" s="3">
        <v>0</v>
      </c>
      <c r="K13" s="3">
        <f t="shared" si="4"/>
        <v>95241.050854520538</v>
      </c>
    </row>
    <row r="14" spans="2:19" x14ac:dyDescent="0.3">
      <c r="B14" s="2">
        <v>45790</v>
      </c>
      <c r="C14" s="3">
        <f t="shared" si="5"/>
        <v>95241.050854520538</v>
      </c>
      <c r="D14" s="3">
        <v>30.416699999999999</v>
      </c>
      <c r="E14" s="3">
        <f t="shared" si="0"/>
        <v>952.41155228274886</v>
      </c>
      <c r="F14" s="3">
        <v>0</v>
      </c>
      <c r="G14" s="3">
        <f t="shared" si="1"/>
        <v>2172.04</v>
      </c>
      <c r="H14" s="3">
        <f t="shared" si="2"/>
        <v>1219.6284477172512</v>
      </c>
      <c r="I14" s="3">
        <f t="shared" si="3"/>
        <v>952.41155228274886</v>
      </c>
      <c r="J14" s="3">
        <v>0</v>
      </c>
      <c r="K14" s="3">
        <f t="shared" si="4"/>
        <v>94021.422406803293</v>
      </c>
      <c r="M14" t="s">
        <v>23</v>
      </c>
      <c r="N14" s="3">
        <f>SUM(N10,N11,N12)</f>
        <v>132494.43999999992</v>
      </c>
      <c r="O14" s="3">
        <f>SUM(O10,O11,O12)</f>
        <v>104257.92</v>
      </c>
      <c r="P14" s="3">
        <f>SUM(P10,P11,P12)</f>
        <v>78193.440000000017</v>
      </c>
      <c r="Q14" s="3">
        <f>SUM(Q10,Q11,Q12)</f>
        <v>52128.960000000014</v>
      </c>
      <c r="R14" s="3">
        <f>SUM(R10,R11,R12)</f>
        <v>26064.480000000007</v>
      </c>
    </row>
    <row r="15" spans="2:19" x14ac:dyDescent="0.3">
      <c r="B15" s="2">
        <v>45821</v>
      </c>
      <c r="C15" s="3">
        <f t="shared" si="5"/>
        <v>94021.422406803293</v>
      </c>
      <c r="D15" s="3">
        <v>30.416699999999999</v>
      </c>
      <c r="E15" s="3">
        <f t="shared" si="0"/>
        <v>940.21525443978533</v>
      </c>
      <c r="F15" s="3">
        <v>0</v>
      </c>
      <c r="G15" s="3">
        <f t="shared" si="1"/>
        <v>2172.04</v>
      </c>
      <c r="H15" s="3">
        <f t="shared" si="2"/>
        <v>1231.8247455602145</v>
      </c>
      <c r="I15" s="3">
        <f t="shared" si="3"/>
        <v>940.21525443978533</v>
      </c>
      <c r="J15" s="3">
        <v>0</v>
      </c>
      <c r="K15" s="3">
        <f t="shared" si="4"/>
        <v>92789.597661243082</v>
      </c>
    </row>
    <row r="16" spans="2:19" x14ac:dyDescent="0.3">
      <c r="B16" s="2">
        <v>45851</v>
      </c>
      <c r="C16" s="3">
        <f t="shared" si="5"/>
        <v>92789.597661243082</v>
      </c>
      <c r="D16" s="3">
        <v>30.416699999999999</v>
      </c>
      <c r="E16" s="3">
        <f t="shared" si="0"/>
        <v>927.8969934847338</v>
      </c>
      <c r="F16" s="3">
        <v>0</v>
      </c>
      <c r="G16" s="3">
        <f t="shared" si="1"/>
        <v>2172.04</v>
      </c>
      <c r="H16" s="3">
        <f t="shared" si="2"/>
        <v>1244.1430065152663</v>
      </c>
      <c r="I16" s="3">
        <f t="shared" si="3"/>
        <v>927.8969934847338</v>
      </c>
      <c r="J16" s="3">
        <v>0</v>
      </c>
      <c r="K16" s="3">
        <f t="shared" si="4"/>
        <v>91545.454654727815</v>
      </c>
      <c r="M16" t="s">
        <v>24</v>
      </c>
      <c r="N16" s="3">
        <f>-SUM(E12:E71)</f>
        <v>-32678.359611702923</v>
      </c>
      <c r="O16" s="3">
        <f>-SUM(E24:E71)</f>
        <v>-21777.042115837401</v>
      </c>
      <c r="P16" s="3">
        <f>-SUM(E36:E71)</f>
        <v>-12798.795386164145</v>
      </c>
      <c r="Q16" s="3">
        <f>-SUM(E48:E71)</f>
        <v>-5987.5132127005563</v>
      </c>
      <c r="R16" s="3">
        <f>-SUM(E60:E71)</f>
        <v>-1618.0212585156298</v>
      </c>
    </row>
    <row r="17" spans="2:18" x14ac:dyDescent="0.3">
      <c r="B17" s="2">
        <v>45882</v>
      </c>
      <c r="C17" s="3">
        <f t="shared" si="5"/>
        <v>91545.454654727815</v>
      </c>
      <c r="D17" s="3">
        <v>30.416699999999999</v>
      </c>
      <c r="E17" s="3">
        <f t="shared" si="0"/>
        <v>915.45554978513724</v>
      </c>
      <c r="F17" s="3">
        <v>0</v>
      </c>
      <c r="G17" s="3">
        <f t="shared" si="1"/>
        <v>2172.04</v>
      </c>
      <c r="H17" s="3">
        <f t="shared" si="2"/>
        <v>1256.5844502148627</v>
      </c>
      <c r="I17" s="3">
        <f t="shared" si="3"/>
        <v>915.45554978513724</v>
      </c>
      <c r="J17" s="3">
        <v>0</v>
      </c>
      <c r="K17" s="3">
        <f t="shared" si="4"/>
        <v>90288.870204512947</v>
      </c>
      <c r="M17" t="s">
        <v>25</v>
      </c>
      <c r="N17" s="3">
        <f>SUM(N14,N16)</f>
        <v>99816.080388296992</v>
      </c>
      <c r="O17" s="3">
        <f>SUM(O14,O16)</f>
        <v>82480.87788416259</v>
      </c>
      <c r="P17" s="3">
        <f>SUM(P14,P16)</f>
        <v>65394.644613835873</v>
      </c>
      <c r="Q17" s="3">
        <f>SUM(Q14,Q16)</f>
        <v>46141.446787299457</v>
      </c>
      <c r="R17" s="3">
        <f>SUM(R14,R16)</f>
        <v>24446.458741484377</v>
      </c>
    </row>
    <row r="18" spans="2:18" x14ac:dyDescent="0.3">
      <c r="B18" s="2">
        <v>45913</v>
      </c>
      <c r="C18" s="3">
        <f t="shared" si="5"/>
        <v>90288.870204512947</v>
      </c>
      <c r="D18" s="3">
        <v>30.416699999999999</v>
      </c>
      <c r="E18" s="3">
        <f t="shared" si="0"/>
        <v>902.88969151220022</v>
      </c>
      <c r="F18" s="3">
        <v>0</v>
      </c>
      <c r="G18" s="3">
        <f t="shared" si="1"/>
        <v>2172.04</v>
      </c>
      <c r="H18" s="3">
        <f t="shared" si="2"/>
        <v>1269.1503084877997</v>
      </c>
      <c r="I18" s="3">
        <f t="shared" si="3"/>
        <v>902.88969151220022</v>
      </c>
      <c r="J18" s="3">
        <v>0</v>
      </c>
      <c r="K18" s="3">
        <f t="shared" si="4"/>
        <v>89019.719896025141</v>
      </c>
    </row>
    <row r="19" spans="2:18" x14ac:dyDescent="0.3">
      <c r="B19" s="2">
        <v>45943</v>
      </c>
      <c r="C19" s="3">
        <f t="shared" si="5"/>
        <v>89019.719896025141</v>
      </c>
      <c r="D19" s="3">
        <v>30.416699999999999</v>
      </c>
      <c r="E19" s="3">
        <f t="shared" si="0"/>
        <v>890.19817451882557</v>
      </c>
      <c r="F19" s="3">
        <v>0</v>
      </c>
      <c r="G19" s="3">
        <f t="shared" si="1"/>
        <v>2172.04</v>
      </c>
      <c r="H19" s="3">
        <f t="shared" si="2"/>
        <v>1281.8418254811745</v>
      </c>
      <c r="I19" s="3">
        <f t="shared" si="3"/>
        <v>890.19817451882557</v>
      </c>
      <c r="J19" s="3">
        <v>0</v>
      </c>
      <c r="K19" s="3">
        <f t="shared" si="4"/>
        <v>87737.878070543971</v>
      </c>
      <c r="M19" t="s">
        <v>20</v>
      </c>
      <c r="N19" s="3">
        <f>SUM(H12:H23)</f>
        <v>15163.16250413448</v>
      </c>
      <c r="O19" s="3">
        <f>SUM(H24:H35)</f>
        <v>17086.233270326738</v>
      </c>
      <c r="P19" s="3">
        <f>SUM(H36:H47)</f>
        <v>19253.197826536412</v>
      </c>
      <c r="Q19" s="3">
        <f>SUM(H48:H59)</f>
        <v>21694.988045815073</v>
      </c>
      <c r="R19" s="3">
        <f>SUM(H60:H71)</f>
        <v>24446.458741484377</v>
      </c>
    </row>
    <row r="20" spans="2:18" x14ac:dyDescent="0.3">
      <c r="B20" s="2">
        <v>45974</v>
      </c>
      <c r="C20" s="3">
        <f t="shared" si="5"/>
        <v>87737.878070543971</v>
      </c>
      <c r="D20" s="3">
        <v>30.416699999999999</v>
      </c>
      <c r="E20" s="3">
        <f t="shared" si="0"/>
        <v>877.37974221643219</v>
      </c>
      <c r="F20" s="3">
        <v>0</v>
      </c>
      <c r="G20" s="3">
        <f t="shared" si="1"/>
        <v>2172.04</v>
      </c>
      <c r="H20" s="3">
        <f t="shared" si="2"/>
        <v>1294.6602577835679</v>
      </c>
      <c r="I20" s="3">
        <f t="shared" si="3"/>
        <v>877.37974221643219</v>
      </c>
      <c r="J20" s="3">
        <v>0</v>
      </c>
      <c r="K20" s="3">
        <f t="shared" si="4"/>
        <v>86443.217812760398</v>
      </c>
      <c r="M20" t="s">
        <v>21</v>
      </c>
      <c r="N20" s="3">
        <f>SUM(H24:H71)</f>
        <v>82480.877884162575</v>
      </c>
      <c r="O20" s="3">
        <f>SUM(H36:H71)</f>
        <v>65394.644613835866</v>
      </c>
      <c r="P20" s="3">
        <f>SUM(H48:H71)</f>
        <v>46141.446787299436</v>
      </c>
      <c r="Q20" s="3">
        <f>SUM(H60:H71)</f>
        <v>24446.458741484377</v>
      </c>
    </row>
    <row r="21" spans="2:18" x14ac:dyDescent="0.3">
      <c r="B21" s="2">
        <v>46004</v>
      </c>
      <c r="C21" s="3">
        <f t="shared" si="5"/>
        <v>86443.217812760398</v>
      </c>
      <c r="D21" s="3">
        <v>30.416699999999999</v>
      </c>
      <c r="E21" s="3">
        <f t="shared" si="0"/>
        <v>864.4331254505388</v>
      </c>
      <c r="F21" s="3">
        <v>0</v>
      </c>
      <c r="G21" s="3">
        <f t="shared" si="1"/>
        <v>2172.04</v>
      </c>
      <c r="H21" s="3">
        <f t="shared" si="2"/>
        <v>1307.6068745494613</v>
      </c>
      <c r="I21" s="3">
        <f t="shared" si="3"/>
        <v>864.4331254505388</v>
      </c>
      <c r="J21" s="3">
        <v>0</v>
      </c>
      <c r="K21" s="3">
        <f t="shared" si="4"/>
        <v>85135.610938210943</v>
      </c>
      <c r="M21" t="s">
        <v>22</v>
      </c>
      <c r="N21" s="3">
        <f>SUM(H71:H72)</f>
        <v>2150.5330430527397</v>
      </c>
    </row>
    <row r="22" spans="2:18" x14ac:dyDescent="0.3">
      <c r="B22" s="2">
        <v>46035</v>
      </c>
      <c r="C22" s="3">
        <f t="shared" si="5"/>
        <v>85135.610938210943</v>
      </c>
      <c r="D22" s="3">
        <v>30.416699999999999</v>
      </c>
      <c r="E22" s="3">
        <f t="shared" si="0"/>
        <v>851.35704237510583</v>
      </c>
      <c r="F22" s="3">
        <v>0</v>
      </c>
      <c r="G22" s="3">
        <f t="shared" si="1"/>
        <v>2172.04</v>
      </c>
      <c r="H22" s="3">
        <f t="shared" si="2"/>
        <v>1320.6829576248942</v>
      </c>
      <c r="I22" s="3">
        <f t="shared" si="3"/>
        <v>851.35704237510583</v>
      </c>
      <c r="J22" s="3">
        <v>0</v>
      </c>
      <c r="K22" s="3">
        <f t="shared" si="4"/>
        <v>83814.927980586042</v>
      </c>
      <c r="M22" t="s">
        <v>27</v>
      </c>
      <c r="N22" s="3">
        <f>SUM(N19,N20,N21)</f>
        <v>99794.573431349796</v>
      </c>
      <c r="O22" s="3">
        <f>SUM(O19,O20,O21)</f>
        <v>82480.877884162604</v>
      </c>
      <c r="P22" s="3">
        <f>SUM(P19,P20,P21)</f>
        <v>65394.644613835844</v>
      </c>
      <c r="Q22" s="3">
        <f>SUM(Q19,Q20,Q21)</f>
        <v>46141.44678729945</v>
      </c>
      <c r="R22" s="3">
        <f>SUM(R19,R20,R21)</f>
        <v>24446.458741484377</v>
      </c>
    </row>
    <row r="23" spans="2:18" x14ac:dyDescent="0.3">
      <c r="B23" s="2">
        <v>46066</v>
      </c>
      <c r="C23" s="3">
        <f t="shared" si="5"/>
        <v>83814.927980586042</v>
      </c>
      <c r="D23" s="3">
        <v>30.416699999999999</v>
      </c>
      <c r="E23" s="3">
        <f t="shared" si="0"/>
        <v>838.15019832561904</v>
      </c>
      <c r="F23" s="3">
        <v>0</v>
      </c>
      <c r="G23" s="3">
        <f t="shared" si="1"/>
        <v>2172.04</v>
      </c>
      <c r="H23" s="3">
        <f t="shared" si="2"/>
        <v>1333.889801674381</v>
      </c>
      <c r="I23" s="3">
        <f t="shared" si="3"/>
        <v>838.15019832561904</v>
      </c>
      <c r="J23" s="3">
        <v>0</v>
      </c>
      <c r="K23" s="3">
        <f t="shared" si="4"/>
        <v>82481.038178911665</v>
      </c>
      <c r="N23" s="3">
        <f>N22-N17</f>
        <v>-21.506956947196159</v>
      </c>
      <c r="O23" s="3">
        <f t="shared" ref="O23:R23" si="7">O22-O17</f>
        <v>0</v>
      </c>
      <c r="P23" s="3">
        <f t="shared" si="7"/>
        <v>0</v>
      </c>
      <c r="Q23" s="3">
        <f t="shared" si="7"/>
        <v>0</v>
      </c>
      <c r="R23" s="3">
        <f t="shared" si="7"/>
        <v>0</v>
      </c>
    </row>
    <row r="24" spans="2:18" x14ac:dyDescent="0.3">
      <c r="B24" s="2">
        <v>46094</v>
      </c>
      <c r="C24" s="3">
        <f t="shared" si="5"/>
        <v>82481.038178911665</v>
      </c>
      <c r="D24" s="3">
        <v>30.416699999999999</v>
      </c>
      <c r="E24" s="3">
        <f t="shared" si="0"/>
        <v>824.81128569090492</v>
      </c>
      <c r="F24" s="3">
        <v>0</v>
      </c>
      <c r="G24" s="3">
        <f t="shared" si="1"/>
        <v>2172.04</v>
      </c>
      <c r="H24" s="3">
        <f t="shared" si="2"/>
        <v>1347.228714309095</v>
      </c>
      <c r="I24" s="3">
        <f t="shared" si="3"/>
        <v>824.81128569090492</v>
      </c>
      <c r="J24" s="3">
        <v>0</v>
      </c>
      <c r="K24" s="3">
        <f t="shared" si="4"/>
        <v>81133.809464602571</v>
      </c>
    </row>
    <row r="25" spans="2:18" x14ac:dyDescent="0.3">
      <c r="B25" s="2">
        <v>46125</v>
      </c>
      <c r="C25" s="3">
        <f t="shared" si="5"/>
        <v>81133.809464602571</v>
      </c>
      <c r="D25" s="3">
        <v>30.416699999999999</v>
      </c>
      <c r="E25" s="3">
        <f t="shared" si="0"/>
        <v>811.33898378366359</v>
      </c>
      <c r="F25" s="3">
        <v>0</v>
      </c>
      <c r="G25" s="3">
        <f t="shared" si="1"/>
        <v>2172.04</v>
      </c>
      <c r="H25" s="3">
        <f t="shared" si="2"/>
        <v>1360.7010162163365</v>
      </c>
      <c r="I25" s="3">
        <f t="shared" si="3"/>
        <v>811.33898378366359</v>
      </c>
      <c r="J25" s="3">
        <v>0</v>
      </c>
      <c r="K25" s="3">
        <f t="shared" si="4"/>
        <v>79773.108448386236</v>
      </c>
    </row>
    <row r="26" spans="2:18" x14ac:dyDescent="0.3">
      <c r="B26" s="2">
        <v>46155</v>
      </c>
      <c r="C26" s="3">
        <f t="shared" si="5"/>
        <v>79773.108448386236</v>
      </c>
      <c r="D26" s="3">
        <v>30.416699999999999</v>
      </c>
      <c r="E26" s="3">
        <f t="shared" si="0"/>
        <v>797.73195870970824</v>
      </c>
      <c r="F26" s="3">
        <v>0</v>
      </c>
      <c r="G26" s="3">
        <f t="shared" si="1"/>
        <v>2172.04</v>
      </c>
      <c r="H26" s="3">
        <f t="shared" si="2"/>
        <v>1374.3080412902918</v>
      </c>
      <c r="I26" s="3">
        <f t="shared" si="3"/>
        <v>797.73195870970824</v>
      </c>
      <c r="J26" s="3">
        <v>0</v>
      </c>
      <c r="K26" s="3">
        <f t="shared" si="4"/>
        <v>78398.800407095943</v>
      </c>
    </row>
    <row r="27" spans="2:18" x14ac:dyDescent="0.3">
      <c r="B27" s="2">
        <v>46186</v>
      </c>
      <c r="C27" s="3">
        <f t="shared" si="5"/>
        <v>78398.800407095943</v>
      </c>
      <c r="D27" s="3">
        <v>30.416699999999999</v>
      </c>
      <c r="E27" s="3">
        <f t="shared" si="0"/>
        <v>783.98886323589534</v>
      </c>
      <c r="F27" s="3">
        <v>0</v>
      </c>
      <c r="G27" s="3">
        <f t="shared" si="1"/>
        <v>2172.04</v>
      </c>
      <c r="H27" s="3">
        <f t="shared" si="2"/>
        <v>1388.0511367641047</v>
      </c>
      <c r="I27" s="3">
        <f t="shared" si="3"/>
        <v>783.98886323589534</v>
      </c>
      <c r="J27" s="3">
        <v>0</v>
      </c>
      <c r="K27" s="3">
        <f t="shared" si="4"/>
        <v>77010.749270331842</v>
      </c>
    </row>
    <row r="28" spans="2:18" x14ac:dyDescent="0.3">
      <c r="B28" s="2">
        <v>46216</v>
      </c>
      <c r="C28" s="3">
        <f t="shared" si="5"/>
        <v>77010.749270331842</v>
      </c>
      <c r="D28" s="3">
        <v>30.416699999999999</v>
      </c>
      <c r="E28" s="3">
        <f t="shared" si="0"/>
        <v>770.10833665673499</v>
      </c>
      <c r="F28" s="3">
        <v>0</v>
      </c>
      <c r="G28" s="3">
        <f t="shared" si="1"/>
        <v>2172.04</v>
      </c>
      <c r="H28" s="3">
        <f t="shared" si="2"/>
        <v>1401.931663343265</v>
      </c>
      <c r="I28" s="3">
        <f t="shared" si="3"/>
        <v>770.10833665673499</v>
      </c>
      <c r="J28" s="3">
        <v>0</v>
      </c>
      <c r="K28" s="3">
        <f t="shared" si="4"/>
        <v>75608.817606988581</v>
      </c>
    </row>
    <row r="29" spans="2:18" x14ac:dyDescent="0.3">
      <c r="B29" s="2">
        <v>46247</v>
      </c>
      <c r="C29" s="3">
        <f t="shared" si="5"/>
        <v>75608.817606988581</v>
      </c>
      <c r="D29" s="3">
        <v>30.416699999999999</v>
      </c>
      <c r="E29" s="3">
        <f t="shared" si="0"/>
        <v>756.08900465966769</v>
      </c>
      <c r="F29" s="3">
        <v>0</v>
      </c>
      <c r="G29" s="3">
        <f t="shared" si="1"/>
        <v>2172.04</v>
      </c>
      <c r="H29" s="3">
        <f t="shared" si="2"/>
        <v>1415.9509953403322</v>
      </c>
      <c r="I29" s="3">
        <f t="shared" si="3"/>
        <v>756.08900465966769</v>
      </c>
      <c r="J29" s="3">
        <v>0</v>
      </c>
      <c r="K29" s="3">
        <f t="shared" si="4"/>
        <v>74192.866611648249</v>
      </c>
    </row>
    <row r="30" spans="2:18" x14ac:dyDescent="0.3">
      <c r="B30" s="2">
        <v>46278</v>
      </c>
      <c r="C30" s="3">
        <f t="shared" si="5"/>
        <v>74192.866611648249</v>
      </c>
      <c r="D30" s="3">
        <v>30.416699999999999</v>
      </c>
      <c r="E30" s="3">
        <f t="shared" si="0"/>
        <v>741.92947918899324</v>
      </c>
      <c r="F30" s="3">
        <v>0</v>
      </c>
      <c r="G30" s="3">
        <f t="shared" si="1"/>
        <v>2172.04</v>
      </c>
      <c r="H30" s="3">
        <f t="shared" si="2"/>
        <v>1430.1105208110066</v>
      </c>
      <c r="I30" s="3">
        <f t="shared" si="3"/>
        <v>741.92947918899324</v>
      </c>
      <c r="J30" s="3">
        <v>0</v>
      </c>
      <c r="K30" s="3">
        <f t="shared" si="4"/>
        <v>72762.75609083724</v>
      </c>
    </row>
    <row r="31" spans="2:18" x14ac:dyDescent="0.3">
      <c r="B31" s="2">
        <v>46308</v>
      </c>
      <c r="C31" s="3">
        <f t="shared" si="5"/>
        <v>72762.75609083724</v>
      </c>
      <c r="D31" s="3">
        <v>30.416699999999999</v>
      </c>
      <c r="E31" s="3">
        <f t="shared" si="0"/>
        <v>727.62835830843903</v>
      </c>
      <c r="F31" s="3">
        <v>0</v>
      </c>
      <c r="G31" s="3">
        <f t="shared" si="1"/>
        <v>2172.04</v>
      </c>
      <c r="H31" s="3">
        <f t="shared" si="2"/>
        <v>1444.4116416915608</v>
      </c>
      <c r="I31" s="3">
        <f t="shared" si="3"/>
        <v>727.62835830843903</v>
      </c>
      <c r="J31" s="3">
        <v>0</v>
      </c>
      <c r="K31" s="3">
        <f t="shared" si="4"/>
        <v>71318.344449145676</v>
      </c>
    </row>
    <row r="32" spans="2:18" x14ac:dyDescent="0.3">
      <c r="B32" s="2">
        <v>46339</v>
      </c>
      <c r="C32" s="3">
        <f t="shared" si="5"/>
        <v>71318.344449145676</v>
      </c>
      <c r="D32" s="3">
        <v>30.416699999999999</v>
      </c>
      <c r="E32" s="3">
        <f t="shared" si="0"/>
        <v>713.18422606235481</v>
      </c>
      <c r="F32" s="3">
        <v>0</v>
      </c>
      <c r="G32" s="3">
        <f t="shared" si="1"/>
        <v>2172.04</v>
      </c>
      <c r="H32" s="3">
        <f t="shared" si="2"/>
        <v>1458.8557739376452</v>
      </c>
      <c r="I32" s="3">
        <f t="shared" si="3"/>
        <v>713.18422606235481</v>
      </c>
      <c r="J32" s="3">
        <v>0</v>
      </c>
      <c r="K32" s="3">
        <f t="shared" si="4"/>
        <v>69859.488675208035</v>
      </c>
    </row>
    <row r="33" spans="2:11" x14ac:dyDescent="0.3">
      <c r="B33" s="2">
        <v>46369</v>
      </c>
      <c r="C33" s="3">
        <f t="shared" si="5"/>
        <v>69859.488675208035</v>
      </c>
      <c r="D33" s="3">
        <v>30.416699999999999</v>
      </c>
      <c r="E33" s="3">
        <f t="shared" si="0"/>
        <v>698.5956523355178</v>
      </c>
      <c r="F33" s="3">
        <v>0</v>
      </c>
      <c r="G33" s="3">
        <f t="shared" si="1"/>
        <v>2172.04</v>
      </c>
      <c r="H33" s="3">
        <f t="shared" si="2"/>
        <v>1473.4443476644822</v>
      </c>
      <c r="I33" s="3">
        <f t="shared" si="3"/>
        <v>698.5956523355178</v>
      </c>
      <c r="J33" s="3">
        <v>0</v>
      </c>
      <c r="K33" s="3">
        <f t="shared" si="4"/>
        <v>68386.044327543554</v>
      </c>
    </row>
    <row r="34" spans="2:11" x14ac:dyDescent="0.3">
      <c r="B34" s="2">
        <v>46400</v>
      </c>
      <c r="C34" s="3">
        <f t="shared" si="5"/>
        <v>68386.044327543554</v>
      </c>
      <c r="D34" s="3">
        <v>30.416699999999999</v>
      </c>
      <c r="E34" s="3">
        <f t="shared" si="0"/>
        <v>683.86119271153768</v>
      </c>
      <c r="F34" s="3">
        <v>0</v>
      </c>
      <c r="G34" s="3">
        <f t="shared" si="1"/>
        <v>2172.04</v>
      </c>
      <c r="H34" s="3">
        <f t="shared" si="2"/>
        <v>1488.1788072884624</v>
      </c>
      <c r="I34" s="3">
        <f t="shared" si="3"/>
        <v>683.86119271153768</v>
      </c>
      <c r="J34" s="3">
        <v>0</v>
      </c>
      <c r="K34" s="3">
        <f t="shared" si="4"/>
        <v>66897.865520255087</v>
      </c>
    </row>
    <row r="35" spans="2:11" x14ac:dyDescent="0.3">
      <c r="B35" s="2">
        <v>46431</v>
      </c>
      <c r="C35" s="3">
        <f t="shared" si="5"/>
        <v>66897.865520255087</v>
      </c>
      <c r="D35" s="3">
        <v>30.416699999999999</v>
      </c>
      <c r="E35" s="3">
        <f t="shared" si="0"/>
        <v>668.97938832984426</v>
      </c>
      <c r="F35" s="3">
        <v>0</v>
      </c>
      <c r="G35" s="3">
        <f t="shared" si="1"/>
        <v>2172.04</v>
      </c>
      <c r="H35" s="3">
        <f t="shared" si="2"/>
        <v>1503.0606116701556</v>
      </c>
      <c r="I35" s="3">
        <f t="shared" si="3"/>
        <v>668.97938832984426</v>
      </c>
      <c r="J35" s="3">
        <v>0</v>
      </c>
      <c r="K35" s="3">
        <f t="shared" si="4"/>
        <v>65394.804908584934</v>
      </c>
    </row>
    <row r="36" spans="2:11" x14ac:dyDescent="0.3">
      <c r="B36" s="2">
        <v>46459</v>
      </c>
      <c r="C36" s="3">
        <f t="shared" si="5"/>
        <v>65394.804908584934</v>
      </c>
      <c r="D36" s="3">
        <v>30.416699999999999</v>
      </c>
      <c r="E36" s="3">
        <f t="shared" si="0"/>
        <v>653.94876574124555</v>
      </c>
      <c r="F36" s="3">
        <v>0</v>
      </c>
      <c r="G36" s="3">
        <f t="shared" si="1"/>
        <v>2172.04</v>
      </c>
      <c r="H36" s="3">
        <f t="shared" si="2"/>
        <v>1518.0912342587544</v>
      </c>
      <c r="I36" s="3">
        <f t="shared" si="3"/>
        <v>653.94876574124555</v>
      </c>
      <c r="J36" s="3">
        <v>0</v>
      </c>
      <c r="K36" s="3">
        <f t="shared" si="4"/>
        <v>63876.71367432618</v>
      </c>
    </row>
    <row r="37" spans="2:11" x14ac:dyDescent="0.3">
      <c r="B37" s="2">
        <v>46490</v>
      </c>
      <c r="C37" s="3">
        <f t="shared" si="5"/>
        <v>63876.71367432618</v>
      </c>
      <c r="D37" s="3">
        <v>30.416699999999999</v>
      </c>
      <c r="E37" s="3">
        <f t="shared" si="0"/>
        <v>638.76783676204172</v>
      </c>
      <c r="F37" s="3">
        <v>0</v>
      </c>
      <c r="G37" s="3">
        <f t="shared" si="1"/>
        <v>2172.04</v>
      </c>
      <c r="H37" s="3">
        <f t="shared" si="2"/>
        <v>1533.2721632379582</v>
      </c>
      <c r="I37" s="3">
        <f t="shared" si="3"/>
        <v>638.76783676204172</v>
      </c>
      <c r="J37" s="3">
        <v>0</v>
      </c>
      <c r="K37" s="3">
        <f t="shared" si="4"/>
        <v>62343.441511088218</v>
      </c>
    </row>
    <row r="38" spans="2:11" x14ac:dyDescent="0.3">
      <c r="B38" s="2">
        <v>46520</v>
      </c>
      <c r="C38" s="3">
        <f t="shared" si="5"/>
        <v>62343.441511088218</v>
      </c>
      <c r="D38" s="3">
        <v>30.416699999999999</v>
      </c>
      <c r="E38" s="3">
        <f t="shared" si="0"/>
        <v>623.43509832667951</v>
      </c>
      <c r="F38" s="3">
        <v>0</v>
      </c>
      <c r="G38" s="3">
        <f t="shared" si="1"/>
        <v>2172.04</v>
      </c>
      <c r="H38" s="3">
        <f t="shared" si="2"/>
        <v>1548.6049016733205</v>
      </c>
      <c r="I38" s="3">
        <f t="shared" si="3"/>
        <v>623.43509832667951</v>
      </c>
      <c r="J38" s="3">
        <v>0</v>
      </c>
      <c r="K38" s="3">
        <f t="shared" si="4"/>
        <v>60794.836609414895</v>
      </c>
    </row>
    <row r="39" spans="2:11" x14ac:dyDescent="0.3">
      <c r="B39" s="2">
        <v>46551</v>
      </c>
      <c r="C39" s="3">
        <f t="shared" si="5"/>
        <v>60794.836609414895</v>
      </c>
      <c r="D39" s="3">
        <v>30.416699999999999</v>
      </c>
      <c r="E39" s="3">
        <f t="shared" si="0"/>
        <v>607.94903233893365</v>
      </c>
      <c r="F39" s="3">
        <v>0</v>
      </c>
      <c r="G39" s="3">
        <f t="shared" si="1"/>
        <v>2172.04</v>
      </c>
      <c r="H39" s="3">
        <f t="shared" si="2"/>
        <v>1564.0909676610663</v>
      </c>
      <c r="I39" s="3">
        <f t="shared" si="3"/>
        <v>607.94903233893365</v>
      </c>
      <c r="J39" s="3">
        <v>0</v>
      </c>
      <c r="K39" s="3">
        <f t="shared" si="4"/>
        <v>59230.745641753827</v>
      </c>
    </row>
    <row r="40" spans="2:11" x14ac:dyDescent="0.3">
      <c r="B40" s="2">
        <v>46581</v>
      </c>
      <c r="C40" s="3">
        <f t="shared" si="5"/>
        <v>59230.745641753827</v>
      </c>
      <c r="D40" s="3">
        <v>30.416699999999999</v>
      </c>
      <c r="E40" s="3">
        <f t="shared" si="0"/>
        <v>592.30810552160005</v>
      </c>
      <c r="F40" s="3">
        <v>0</v>
      </c>
      <c r="G40" s="3">
        <f t="shared" si="1"/>
        <v>2172.04</v>
      </c>
      <c r="H40" s="3">
        <f t="shared" si="2"/>
        <v>1579.7318944783999</v>
      </c>
      <c r="I40" s="3">
        <f t="shared" si="3"/>
        <v>592.30810552160005</v>
      </c>
      <c r="J40" s="3">
        <v>0</v>
      </c>
      <c r="K40" s="3">
        <f t="shared" si="4"/>
        <v>57651.013747275429</v>
      </c>
    </row>
    <row r="41" spans="2:11" x14ac:dyDescent="0.3">
      <c r="B41" s="2">
        <v>46612</v>
      </c>
      <c r="C41" s="3">
        <f t="shared" si="5"/>
        <v>57651.013747275429</v>
      </c>
      <c r="D41" s="3">
        <v>30.416699999999999</v>
      </c>
      <c r="E41" s="3">
        <f t="shared" si="0"/>
        <v>576.51076926468568</v>
      </c>
      <c r="F41" s="3">
        <v>0</v>
      </c>
      <c r="G41" s="3">
        <f t="shared" si="1"/>
        <v>2172.04</v>
      </c>
      <c r="H41" s="3">
        <f t="shared" si="2"/>
        <v>1595.5292307353143</v>
      </c>
      <c r="I41" s="3">
        <f t="shared" si="3"/>
        <v>576.51076926468568</v>
      </c>
      <c r="J41" s="3">
        <v>0</v>
      </c>
      <c r="K41" s="3">
        <f t="shared" si="4"/>
        <v>56055.484516540113</v>
      </c>
    </row>
    <row r="42" spans="2:11" x14ac:dyDescent="0.3">
      <c r="B42" s="2">
        <v>46643</v>
      </c>
      <c r="C42" s="3">
        <f t="shared" si="5"/>
        <v>56055.484516540113</v>
      </c>
      <c r="D42" s="3">
        <v>30.416699999999999</v>
      </c>
      <c r="E42" s="3">
        <f t="shared" ref="E42:E71" si="8">C42*$C$3*D42/365</f>
        <v>560.55545947208066</v>
      </c>
      <c r="F42" s="3">
        <v>0</v>
      </c>
      <c r="G42" s="3">
        <f t="shared" ref="G42:G71" si="9">$C$5</f>
        <v>2172.04</v>
      </c>
      <c r="H42" s="3">
        <f t="shared" ref="H42:H71" si="10">G42-E42</f>
        <v>1611.4845405279193</v>
      </c>
      <c r="I42" s="3">
        <f t="shared" ref="I42:I71" si="11">E42</f>
        <v>560.55545947208066</v>
      </c>
      <c r="J42" s="3">
        <v>0</v>
      </c>
      <c r="K42" s="3">
        <f t="shared" ref="K42:K71" si="12">C42 - H42</f>
        <v>54443.999976012194</v>
      </c>
    </row>
    <row r="43" spans="2:11" x14ac:dyDescent="0.3">
      <c r="B43" s="2">
        <v>46673</v>
      </c>
      <c r="C43" s="3">
        <f t="shared" ref="C43:C71" si="13">K42</f>
        <v>54443.999976012194</v>
      </c>
      <c r="D43" s="3">
        <v>30.416699999999999</v>
      </c>
      <c r="E43" s="3">
        <f t="shared" si="8"/>
        <v>544.44059640669695</v>
      </c>
      <c r="F43" s="3">
        <v>0</v>
      </c>
      <c r="G43" s="3">
        <f t="shared" si="9"/>
        <v>2172.04</v>
      </c>
      <c r="H43" s="3">
        <f t="shared" si="10"/>
        <v>1627.5994035933031</v>
      </c>
      <c r="I43" s="3">
        <f t="shared" si="11"/>
        <v>544.44059640669695</v>
      </c>
      <c r="J43" s="3">
        <v>0</v>
      </c>
      <c r="K43" s="3">
        <f t="shared" si="12"/>
        <v>52816.40057241889</v>
      </c>
    </row>
    <row r="44" spans="2:11" x14ac:dyDescent="0.3">
      <c r="B44" s="2">
        <v>46704</v>
      </c>
      <c r="C44" s="3">
        <f t="shared" si="13"/>
        <v>52816.40057241889</v>
      </c>
      <c r="D44" s="3">
        <v>30.416699999999999</v>
      </c>
      <c r="E44" s="3">
        <f t="shared" si="8"/>
        <v>528.16458453405812</v>
      </c>
      <c r="F44" s="3">
        <v>0</v>
      </c>
      <c r="G44" s="3">
        <f t="shared" si="9"/>
        <v>2172.04</v>
      </c>
      <c r="H44" s="3">
        <f t="shared" si="10"/>
        <v>1643.8754154659418</v>
      </c>
      <c r="I44" s="3">
        <f t="shared" si="11"/>
        <v>528.16458453405812</v>
      </c>
      <c r="J44" s="3">
        <v>0</v>
      </c>
      <c r="K44" s="3">
        <f t="shared" si="12"/>
        <v>51172.52515695295</v>
      </c>
    </row>
    <row r="45" spans="2:11" x14ac:dyDescent="0.3">
      <c r="B45" s="2">
        <v>46734</v>
      </c>
      <c r="C45" s="3">
        <f t="shared" si="13"/>
        <v>51172.52515695295</v>
      </c>
      <c r="D45" s="3">
        <v>30.416699999999999</v>
      </c>
      <c r="E45" s="3">
        <f t="shared" si="8"/>
        <v>511.72581236432575</v>
      </c>
      <c r="F45" s="3">
        <v>0</v>
      </c>
      <c r="G45" s="3">
        <f t="shared" si="9"/>
        <v>2172.04</v>
      </c>
      <c r="H45" s="3">
        <f t="shared" si="10"/>
        <v>1660.3141876356742</v>
      </c>
      <c r="I45" s="3">
        <f t="shared" si="11"/>
        <v>511.72581236432575</v>
      </c>
      <c r="J45" s="3">
        <v>0</v>
      </c>
      <c r="K45" s="3">
        <f t="shared" si="12"/>
        <v>49512.210969317275</v>
      </c>
    </row>
    <row r="46" spans="2:11" x14ac:dyDescent="0.3">
      <c r="B46" s="2">
        <v>46765</v>
      </c>
      <c r="C46" s="3">
        <f t="shared" si="13"/>
        <v>49512.210969317275</v>
      </c>
      <c r="D46" s="3">
        <v>30.416699999999999</v>
      </c>
      <c r="E46" s="3">
        <f t="shared" si="8"/>
        <v>495.12265229274499</v>
      </c>
      <c r="F46" s="3">
        <v>0</v>
      </c>
      <c r="G46" s="3">
        <f t="shared" si="9"/>
        <v>2172.04</v>
      </c>
      <c r="H46" s="3">
        <f t="shared" si="10"/>
        <v>1676.917347707255</v>
      </c>
      <c r="I46" s="3">
        <f t="shared" si="11"/>
        <v>495.12265229274499</v>
      </c>
      <c r="J46" s="3">
        <v>0</v>
      </c>
      <c r="K46" s="3">
        <f t="shared" si="12"/>
        <v>47835.293621610021</v>
      </c>
    </row>
    <row r="47" spans="2:11" x14ac:dyDescent="0.3">
      <c r="B47" s="2">
        <v>46796</v>
      </c>
      <c r="C47" s="3">
        <f t="shared" si="13"/>
        <v>47835.293621610021</v>
      </c>
      <c r="D47" s="3">
        <v>30.416699999999999</v>
      </c>
      <c r="E47" s="3">
        <f t="shared" si="8"/>
        <v>478.35346043849603</v>
      </c>
      <c r="F47" s="3">
        <v>0</v>
      </c>
      <c r="G47" s="3">
        <f t="shared" si="9"/>
        <v>2172.04</v>
      </c>
      <c r="H47" s="3">
        <f t="shared" si="10"/>
        <v>1693.6865395615039</v>
      </c>
      <c r="I47" s="3">
        <f t="shared" si="11"/>
        <v>478.35346043849603</v>
      </c>
      <c r="J47" s="3">
        <v>0</v>
      </c>
      <c r="K47" s="3">
        <f t="shared" si="12"/>
        <v>46141.607082048518</v>
      </c>
    </row>
    <row r="48" spans="2:11" x14ac:dyDescent="0.3">
      <c r="B48" s="2">
        <v>46825</v>
      </c>
      <c r="C48" s="3">
        <f t="shared" si="13"/>
        <v>46141.607082048518</v>
      </c>
      <c r="D48" s="3">
        <v>30.416699999999999</v>
      </c>
      <c r="E48" s="3">
        <f t="shared" si="8"/>
        <v>461.41657648193257</v>
      </c>
      <c r="F48" s="3">
        <v>0</v>
      </c>
      <c r="G48" s="3">
        <f t="shared" si="9"/>
        <v>2172.04</v>
      </c>
      <c r="H48" s="3">
        <f t="shared" si="10"/>
        <v>1710.6234235180673</v>
      </c>
      <c r="I48" s="3">
        <f t="shared" si="11"/>
        <v>461.41657648193257</v>
      </c>
      <c r="J48" s="3">
        <v>0</v>
      </c>
      <c r="K48" s="3">
        <f t="shared" si="12"/>
        <v>44430.983658530451</v>
      </c>
    </row>
    <row r="49" spans="2:11" x14ac:dyDescent="0.3">
      <c r="B49" s="2">
        <v>46856</v>
      </c>
      <c r="C49" s="3">
        <f t="shared" si="13"/>
        <v>44430.983658530451</v>
      </c>
      <c r="D49" s="3">
        <v>30.416699999999999</v>
      </c>
      <c r="E49" s="3">
        <f t="shared" si="8"/>
        <v>444.31032350019387</v>
      </c>
      <c r="F49" s="3">
        <v>0</v>
      </c>
      <c r="G49" s="3">
        <f t="shared" si="9"/>
        <v>2172.04</v>
      </c>
      <c r="H49" s="3">
        <f t="shared" si="10"/>
        <v>1727.7296764998061</v>
      </c>
      <c r="I49" s="3">
        <f t="shared" si="11"/>
        <v>444.31032350019387</v>
      </c>
      <c r="J49" s="3">
        <v>0</v>
      </c>
      <c r="K49" s="3">
        <f t="shared" si="12"/>
        <v>42703.253982030648</v>
      </c>
    </row>
    <row r="50" spans="2:11" x14ac:dyDescent="0.3">
      <c r="B50" s="2">
        <v>46886</v>
      </c>
      <c r="C50" s="3">
        <f t="shared" si="13"/>
        <v>42703.253982030648</v>
      </c>
      <c r="D50" s="3">
        <v>30.416699999999999</v>
      </c>
      <c r="E50" s="3">
        <f t="shared" si="8"/>
        <v>427.033007801172</v>
      </c>
      <c r="F50" s="3">
        <v>0</v>
      </c>
      <c r="G50" s="3">
        <f t="shared" si="9"/>
        <v>2172.04</v>
      </c>
      <c r="H50" s="3">
        <f t="shared" si="10"/>
        <v>1745.0069921988279</v>
      </c>
      <c r="I50" s="3">
        <f t="shared" si="11"/>
        <v>427.033007801172</v>
      </c>
      <c r="J50" s="3">
        <v>0</v>
      </c>
      <c r="K50" s="3">
        <f t="shared" si="12"/>
        <v>40958.246989831823</v>
      </c>
    </row>
    <row r="51" spans="2:11" x14ac:dyDescent="0.3">
      <c r="B51" s="2">
        <v>46917</v>
      </c>
      <c r="C51" s="3">
        <f t="shared" si="13"/>
        <v>40958.246989831823</v>
      </c>
      <c r="D51" s="3">
        <v>30.416699999999999</v>
      </c>
      <c r="E51" s="3">
        <f t="shared" si="8"/>
        <v>409.58291875581955</v>
      </c>
      <c r="F51" s="3">
        <v>0</v>
      </c>
      <c r="G51" s="3">
        <f t="shared" si="9"/>
        <v>2172.04</v>
      </c>
      <c r="H51" s="3">
        <f t="shared" si="10"/>
        <v>1762.4570812441805</v>
      </c>
      <c r="I51" s="3">
        <f t="shared" si="11"/>
        <v>409.58291875581955</v>
      </c>
      <c r="J51" s="3">
        <v>0</v>
      </c>
      <c r="K51" s="3">
        <f t="shared" si="12"/>
        <v>39195.789908587642</v>
      </c>
    </row>
    <row r="52" spans="2:11" x14ac:dyDescent="0.3">
      <c r="B52" s="2">
        <v>46947</v>
      </c>
      <c r="C52" s="3">
        <f t="shared" si="13"/>
        <v>39195.789908587642</v>
      </c>
      <c r="D52" s="3">
        <v>30.416699999999999</v>
      </c>
      <c r="E52" s="3">
        <f t="shared" si="8"/>
        <v>391.9583286287795</v>
      </c>
      <c r="F52" s="3">
        <v>0</v>
      </c>
      <c r="G52" s="3">
        <f t="shared" si="9"/>
        <v>2172.04</v>
      </c>
      <c r="H52" s="3">
        <f t="shared" si="10"/>
        <v>1780.0816713712204</v>
      </c>
      <c r="I52" s="3">
        <f t="shared" si="11"/>
        <v>391.9583286287795</v>
      </c>
      <c r="J52" s="3">
        <v>0</v>
      </c>
      <c r="K52" s="3">
        <f t="shared" si="12"/>
        <v>37415.708237216422</v>
      </c>
    </row>
    <row r="53" spans="2:11" x14ac:dyDescent="0.3">
      <c r="B53" s="2">
        <v>46978</v>
      </c>
      <c r="C53" s="3">
        <f t="shared" si="13"/>
        <v>37415.708237216422</v>
      </c>
      <c r="D53" s="3">
        <v>30.416699999999999</v>
      </c>
      <c r="E53" s="3">
        <f t="shared" si="8"/>
        <v>374.15749240732293</v>
      </c>
      <c r="F53" s="3">
        <v>0</v>
      </c>
      <c r="G53" s="3">
        <f t="shared" si="9"/>
        <v>2172.04</v>
      </c>
      <c r="H53" s="3">
        <f t="shared" si="10"/>
        <v>1797.882507592677</v>
      </c>
      <c r="I53" s="3">
        <f t="shared" si="11"/>
        <v>374.15749240732293</v>
      </c>
      <c r="J53" s="3">
        <v>0</v>
      </c>
      <c r="K53" s="3">
        <f t="shared" si="12"/>
        <v>35617.825729623743</v>
      </c>
    </row>
    <row r="54" spans="2:11" x14ac:dyDescent="0.3">
      <c r="B54" s="2">
        <v>47009</v>
      </c>
      <c r="C54" s="3">
        <f t="shared" si="13"/>
        <v>35617.825729623743</v>
      </c>
      <c r="D54" s="3">
        <v>30.416699999999999</v>
      </c>
      <c r="E54" s="3">
        <f t="shared" si="8"/>
        <v>356.17864762857414</v>
      </c>
      <c r="F54" s="3">
        <v>0</v>
      </c>
      <c r="G54" s="3">
        <f t="shared" si="9"/>
        <v>2172.04</v>
      </c>
      <c r="H54" s="3">
        <f t="shared" si="10"/>
        <v>1815.8613523714257</v>
      </c>
      <c r="I54" s="3">
        <f t="shared" si="11"/>
        <v>356.17864762857414</v>
      </c>
      <c r="J54" s="3">
        <v>0</v>
      </c>
      <c r="K54" s="3">
        <f t="shared" si="12"/>
        <v>33801.96437725232</v>
      </c>
    </row>
    <row r="55" spans="2:11" x14ac:dyDescent="0.3">
      <c r="B55" s="2">
        <v>47039</v>
      </c>
      <c r="C55" s="3">
        <f t="shared" si="13"/>
        <v>33801.96437725232</v>
      </c>
      <c r="D55" s="3">
        <v>30.416699999999999</v>
      </c>
      <c r="E55" s="3">
        <f t="shared" si="8"/>
        <v>338.02001420500949</v>
      </c>
      <c r="F55" s="3">
        <v>0</v>
      </c>
      <c r="G55" s="3">
        <f t="shared" si="9"/>
        <v>2172.04</v>
      </c>
      <c r="H55" s="3">
        <f t="shared" si="10"/>
        <v>1834.0199857949906</v>
      </c>
      <c r="I55" s="3">
        <f t="shared" si="11"/>
        <v>338.02001420500949</v>
      </c>
      <c r="J55" s="3">
        <v>0</v>
      </c>
      <c r="K55" s="3">
        <f t="shared" si="12"/>
        <v>31967.944391457328</v>
      </c>
    </row>
    <row r="56" spans="2:11" x14ac:dyDescent="0.3">
      <c r="B56" s="2">
        <v>47070</v>
      </c>
      <c r="C56" s="3">
        <f t="shared" si="13"/>
        <v>31967.944391457328</v>
      </c>
      <c r="D56" s="3">
        <v>30.416699999999999</v>
      </c>
      <c r="E56" s="3">
        <f t="shared" si="8"/>
        <v>319.67979424821044</v>
      </c>
      <c r="F56" s="3">
        <v>0</v>
      </c>
      <c r="G56" s="3">
        <f t="shared" si="9"/>
        <v>2172.04</v>
      </c>
      <c r="H56" s="3">
        <f t="shared" si="10"/>
        <v>1852.3602057517896</v>
      </c>
      <c r="I56" s="3">
        <f t="shared" si="11"/>
        <v>319.67979424821044</v>
      </c>
      <c r="J56" s="3">
        <v>0</v>
      </c>
      <c r="K56" s="3">
        <f t="shared" si="12"/>
        <v>30115.584185705538</v>
      </c>
    </row>
    <row r="57" spans="2:11" x14ac:dyDescent="0.3">
      <c r="B57" s="2">
        <v>47100</v>
      </c>
      <c r="C57" s="3">
        <f t="shared" si="13"/>
        <v>30115.584185705538</v>
      </c>
      <c r="D57" s="3">
        <v>30.416699999999999</v>
      </c>
      <c r="E57" s="3">
        <f t="shared" si="8"/>
        <v>301.15617189085464</v>
      </c>
      <c r="F57" s="3">
        <v>0</v>
      </c>
      <c r="G57" s="3">
        <f t="shared" si="9"/>
        <v>2172.04</v>
      </c>
      <c r="H57" s="3">
        <f t="shared" si="10"/>
        <v>1870.8838281091453</v>
      </c>
      <c r="I57" s="3">
        <f t="shared" si="11"/>
        <v>301.15617189085464</v>
      </c>
      <c r="J57" s="3">
        <v>0</v>
      </c>
      <c r="K57" s="3">
        <f t="shared" si="12"/>
        <v>28244.700357596394</v>
      </c>
    </row>
    <row r="58" spans="2:11" x14ac:dyDescent="0.3">
      <c r="B58" s="2">
        <v>47131</v>
      </c>
      <c r="C58" s="3">
        <f t="shared" si="13"/>
        <v>28244.700357596394</v>
      </c>
      <c r="D58" s="3">
        <v>30.416699999999999</v>
      </c>
      <c r="E58" s="3">
        <f t="shared" si="8"/>
        <v>282.44731310692674</v>
      </c>
      <c r="F58" s="3">
        <v>0</v>
      </c>
      <c r="G58" s="3">
        <f t="shared" si="9"/>
        <v>2172.04</v>
      </c>
      <c r="H58" s="3">
        <f t="shared" si="10"/>
        <v>1889.5926868930733</v>
      </c>
      <c r="I58" s="3">
        <f t="shared" si="11"/>
        <v>282.44731310692674</v>
      </c>
      <c r="J58" s="3">
        <v>0</v>
      </c>
      <c r="K58" s="3">
        <f t="shared" si="12"/>
        <v>26355.107670703321</v>
      </c>
    </row>
    <row r="59" spans="2:11" x14ac:dyDescent="0.3">
      <c r="B59" s="2">
        <v>47162</v>
      </c>
      <c r="C59" s="3">
        <f t="shared" si="13"/>
        <v>26355.107670703321</v>
      </c>
      <c r="D59" s="3">
        <v>30.416699999999999</v>
      </c>
      <c r="E59" s="3">
        <f t="shared" si="8"/>
        <v>263.55136553013097</v>
      </c>
      <c r="F59" s="3">
        <v>0</v>
      </c>
      <c r="G59" s="3">
        <f t="shared" si="9"/>
        <v>2172.04</v>
      </c>
      <c r="H59" s="3">
        <f t="shared" si="10"/>
        <v>1908.4886344698689</v>
      </c>
      <c r="I59" s="3">
        <f t="shared" si="11"/>
        <v>263.55136553013097</v>
      </c>
      <c r="J59" s="3">
        <v>0</v>
      </c>
      <c r="K59" s="3">
        <f t="shared" si="12"/>
        <v>24446.619036233453</v>
      </c>
    </row>
    <row r="60" spans="2:11" x14ac:dyDescent="0.3">
      <c r="B60" s="2">
        <v>47190</v>
      </c>
      <c r="C60" s="3">
        <f t="shared" si="13"/>
        <v>24446.619036233453</v>
      </c>
      <c r="D60" s="3">
        <v>30.416699999999999</v>
      </c>
      <c r="E60" s="3">
        <f t="shared" si="8"/>
        <v>244.46645827048832</v>
      </c>
      <c r="F60" s="3">
        <v>0</v>
      </c>
      <c r="G60" s="3">
        <f t="shared" si="9"/>
        <v>2172.04</v>
      </c>
      <c r="H60" s="3">
        <f t="shared" si="10"/>
        <v>1927.5735417295116</v>
      </c>
      <c r="I60" s="3">
        <f t="shared" si="11"/>
        <v>244.46645827048832</v>
      </c>
      <c r="J60" s="3">
        <v>0</v>
      </c>
      <c r="K60" s="3">
        <f t="shared" si="12"/>
        <v>22519.045494503942</v>
      </c>
    </row>
    <row r="61" spans="2:11" x14ac:dyDescent="0.3">
      <c r="B61" s="2">
        <v>47221</v>
      </c>
      <c r="C61" s="3">
        <f t="shared" si="13"/>
        <v>22519.045494503942</v>
      </c>
      <c r="D61" s="3">
        <v>30.416699999999999</v>
      </c>
      <c r="E61" s="3">
        <f t="shared" si="8"/>
        <v>225.1907017290996</v>
      </c>
      <c r="F61" s="3">
        <v>0</v>
      </c>
      <c r="G61" s="3">
        <f t="shared" si="9"/>
        <v>2172.04</v>
      </c>
      <c r="H61" s="3">
        <f t="shared" si="10"/>
        <v>1946.8492982709004</v>
      </c>
      <c r="I61" s="3">
        <f t="shared" si="11"/>
        <v>225.1907017290996</v>
      </c>
      <c r="J61" s="3">
        <v>0</v>
      </c>
      <c r="K61" s="3">
        <f t="shared" si="12"/>
        <v>20572.196196233042</v>
      </c>
    </row>
    <row r="62" spans="2:11" x14ac:dyDescent="0.3">
      <c r="B62" s="2">
        <v>47251</v>
      </c>
      <c r="C62" s="3">
        <f t="shared" si="13"/>
        <v>20572.196196233042</v>
      </c>
      <c r="D62" s="3">
        <v>30.416699999999999</v>
      </c>
      <c r="E62" s="3">
        <f t="shared" si="8"/>
        <v>205.72218741105584</v>
      </c>
      <c r="F62" s="3">
        <v>0</v>
      </c>
      <c r="G62" s="3">
        <f t="shared" si="9"/>
        <v>2172.04</v>
      </c>
      <c r="H62" s="3">
        <f t="shared" si="10"/>
        <v>1966.3178125889442</v>
      </c>
      <c r="I62" s="3">
        <f t="shared" si="11"/>
        <v>205.72218741105584</v>
      </c>
      <c r="J62" s="3">
        <v>0</v>
      </c>
      <c r="K62" s="3">
        <f t="shared" si="12"/>
        <v>18605.8783836441</v>
      </c>
    </row>
    <row r="63" spans="2:11" x14ac:dyDescent="0.3">
      <c r="B63" s="2">
        <v>47282</v>
      </c>
      <c r="C63" s="3">
        <f t="shared" si="13"/>
        <v>18605.8783836441</v>
      </c>
      <c r="D63" s="3">
        <v>30.416699999999999</v>
      </c>
      <c r="E63" s="3">
        <f t="shared" si="8"/>
        <v>186.05898773647806</v>
      </c>
      <c r="F63" s="3">
        <v>0</v>
      </c>
      <c r="G63" s="3">
        <f t="shared" si="9"/>
        <v>2172.04</v>
      </c>
      <c r="H63" s="3">
        <f t="shared" si="10"/>
        <v>1985.981012263522</v>
      </c>
      <c r="I63" s="3">
        <f t="shared" si="11"/>
        <v>186.05898773647806</v>
      </c>
      <c r="J63" s="3">
        <v>0</v>
      </c>
      <c r="K63" s="3">
        <f t="shared" si="12"/>
        <v>16619.897371380579</v>
      </c>
    </row>
    <row r="64" spans="2:11" x14ac:dyDescent="0.3">
      <c r="B64" s="2">
        <v>47312</v>
      </c>
      <c r="C64" s="3">
        <f t="shared" si="13"/>
        <v>16619.897371380579</v>
      </c>
      <c r="D64" s="3">
        <v>30.416699999999999</v>
      </c>
      <c r="E64" s="3">
        <f t="shared" si="8"/>
        <v>166.19915584966739</v>
      </c>
      <c r="F64" s="3">
        <v>0</v>
      </c>
      <c r="G64" s="3">
        <f t="shared" si="9"/>
        <v>2172.04</v>
      </c>
      <c r="H64" s="3">
        <f t="shared" si="10"/>
        <v>2005.8408441503325</v>
      </c>
      <c r="I64" s="3">
        <f t="shared" si="11"/>
        <v>166.19915584966739</v>
      </c>
      <c r="J64" s="3">
        <v>0</v>
      </c>
      <c r="K64" s="3">
        <f t="shared" si="12"/>
        <v>14614.056527230247</v>
      </c>
    </row>
    <row r="65" spans="2:11" x14ac:dyDescent="0.3">
      <c r="B65" s="2">
        <v>47343</v>
      </c>
      <c r="C65" s="3">
        <f t="shared" si="13"/>
        <v>14614.056527230247</v>
      </c>
      <c r="D65" s="3">
        <v>30.416699999999999</v>
      </c>
      <c r="E65" s="3">
        <f t="shared" si="8"/>
        <v>146.14072542634659</v>
      </c>
      <c r="F65" s="3">
        <v>0</v>
      </c>
      <c r="G65" s="3">
        <f t="shared" si="9"/>
        <v>2172.04</v>
      </c>
      <c r="H65" s="3">
        <f t="shared" si="10"/>
        <v>2025.8992745736534</v>
      </c>
      <c r="I65" s="3">
        <f t="shared" si="11"/>
        <v>146.14072542634659</v>
      </c>
      <c r="J65" s="3">
        <v>0</v>
      </c>
      <c r="K65" s="3">
        <f t="shared" si="12"/>
        <v>12588.157252656592</v>
      </c>
    </row>
    <row r="66" spans="2:11" x14ac:dyDescent="0.3">
      <c r="B66" s="2">
        <v>47374</v>
      </c>
      <c r="C66" s="3">
        <f t="shared" si="13"/>
        <v>12588.157252656592</v>
      </c>
      <c r="D66" s="3">
        <v>30.416699999999999</v>
      </c>
      <c r="E66" s="3">
        <f t="shared" si="8"/>
        <v>125.88171047897418</v>
      </c>
      <c r="F66" s="3">
        <v>0</v>
      </c>
      <c r="G66" s="3">
        <f t="shared" si="9"/>
        <v>2172.04</v>
      </c>
      <c r="H66" s="3">
        <f t="shared" si="10"/>
        <v>2046.1582895210258</v>
      </c>
      <c r="I66" s="3">
        <f t="shared" si="11"/>
        <v>125.88171047897418</v>
      </c>
      <c r="J66" s="3">
        <v>0</v>
      </c>
      <c r="K66" s="3">
        <f t="shared" si="12"/>
        <v>10541.998963135567</v>
      </c>
    </row>
    <row r="67" spans="2:11" x14ac:dyDescent="0.3">
      <c r="B67" s="2">
        <v>47404</v>
      </c>
      <c r="C67" s="3">
        <f t="shared" si="13"/>
        <v>10541.998963135567</v>
      </c>
      <c r="D67" s="3">
        <v>30.416699999999999</v>
      </c>
      <c r="E67" s="3">
        <f t="shared" si="8"/>
        <v>105.42010516011143</v>
      </c>
      <c r="F67" s="3">
        <v>0</v>
      </c>
      <c r="G67" s="3">
        <f t="shared" si="9"/>
        <v>2172.04</v>
      </c>
      <c r="H67" s="3">
        <f t="shared" si="10"/>
        <v>2066.6198948398887</v>
      </c>
      <c r="I67" s="3">
        <f t="shared" si="11"/>
        <v>105.42010516011143</v>
      </c>
      <c r="J67" s="3">
        <v>0</v>
      </c>
      <c r="K67" s="3">
        <f t="shared" si="12"/>
        <v>8475.3790682956787</v>
      </c>
    </row>
    <row r="68" spans="2:11" x14ac:dyDescent="0.3">
      <c r="B68" s="2">
        <v>47435</v>
      </c>
      <c r="C68" s="3">
        <f t="shared" si="13"/>
        <v>8475.3790682956787</v>
      </c>
      <c r="D68" s="3">
        <v>30.416699999999999</v>
      </c>
      <c r="E68" s="3">
        <f t="shared" si="8"/>
        <v>84.75388356382328</v>
      </c>
      <c r="F68" s="3">
        <v>0</v>
      </c>
      <c r="G68" s="3">
        <f t="shared" si="9"/>
        <v>2172.04</v>
      </c>
      <c r="H68" s="3">
        <f t="shared" si="10"/>
        <v>2087.2861164361766</v>
      </c>
      <c r="I68" s="3">
        <f t="shared" si="11"/>
        <v>84.75388356382328</v>
      </c>
      <c r="J68" s="3">
        <v>0</v>
      </c>
      <c r="K68" s="3">
        <f t="shared" si="12"/>
        <v>6388.0929518595021</v>
      </c>
    </row>
    <row r="69" spans="2:11" x14ac:dyDescent="0.3">
      <c r="B69" s="2">
        <v>47465</v>
      </c>
      <c r="C69" s="3">
        <f t="shared" si="13"/>
        <v>6388.0929518595021</v>
      </c>
      <c r="D69" s="3">
        <v>30.416699999999999</v>
      </c>
      <c r="E69" s="3">
        <f t="shared" si="8"/>
        <v>63.880999525093117</v>
      </c>
      <c r="F69" s="3">
        <v>0</v>
      </c>
      <c r="G69" s="3">
        <f t="shared" si="9"/>
        <v>2172.04</v>
      </c>
      <c r="H69" s="3">
        <f t="shared" si="10"/>
        <v>2108.1590004749069</v>
      </c>
      <c r="I69" s="3">
        <f t="shared" si="11"/>
        <v>63.880999525093117</v>
      </c>
      <c r="J69" s="3">
        <v>0</v>
      </c>
      <c r="K69" s="3">
        <f t="shared" si="12"/>
        <v>4279.9339513845953</v>
      </c>
    </row>
    <row r="70" spans="2:11" x14ac:dyDescent="0.3">
      <c r="B70" s="2">
        <v>47496</v>
      </c>
      <c r="C70" s="3">
        <f t="shared" si="13"/>
        <v>4279.9339513845953</v>
      </c>
      <c r="D70" s="3">
        <v>30.416699999999999</v>
      </c>
      <c r="E70" s="3">
        <f t="shared" si="8"/>
        <v>42.799386417231716</v>
      </c>
      <c r="F70" s="3">
        <v>0</v>
      </c>
      <c r="G70" s="3">
        <f t="shared" si="9"/>
        <v>2172.04</v>
      </c>
      <c r="H70" s="3">
        <f t="shared" si="10"/>
        <v>2129.2406135827682</v>
      </c>
      <c r="I70" s="3">
        <f t="shared" si="11"/>
        <v>42.799386417231716</v>
      </c>
      <c r="J70" s="3">
        <v>0</v>
      </c>
      <c r="K70" s="3">
        <f t="shared" si="12"/>
        <v>2150.6933378018271</v>
      </c>
    </row>
    <row r="71" spans="2:11" x14ac:dyDescent="0.3">
      <c r="B71" s="2">
        <v>47527</v>
      </c>
      <c r="C71" s="3">
        <f t="shared" si="13"/>
        <v>2150.6933378018271</v>
      </c>
      <c r="D71" s="3">
        <v>30.416699999999999</v>
      </c>
      <c r="E71" s="3">
        <f t="shared" si="8"/>
        <v>21.506956947260328</v>
      </c>
      <c r="F71" s="3">
        <v>0</v>
      </c>
      <c r="G71" s="3">
        <f t="shared" si="9"/>
        <v>2172.04</v>
      </c>
      <c r="H71" s="3">
        <f t="shared" si="10"/>
        <v>2150.5330430527397</v>
      </c>
      <c r="I71" s="3">
        <f t="shared" si="11"/>
        <v>21.506956947260328</v>
      </c>
      <c r="J71" s="3">
        <v>0</v>
      </c>
      <c r="K71" s="3">
        <f t="shared" si="12"/>
        <v>0.16029474908737029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EE1F-7238-4788-A764-5CF382925C36}">
  <sheetPr codeName="Sheet29"/>
  <dimension ref="B2:R69"/>
  <sheetViews>
    <sheetView topLeftCell="C1" workbookViewId="0">
      <selection activeCell="N11" sqref="N11"/>
    </sheetView>
  </sheetViews>
  <sheetFormatPr defaultRowHeight="14.4" x14ac:dyDescent="0.3"/>
  <cols>
    <col min="2" max="2" width="11.5546875" style="2" bestFit="1" customWidth="1"/>
    <col min="3" max="3" width="14.6640625" style="3" bestFit="1" customWidth="1"/>
    <col min="4" max="4" width="5.5546875" style="3" bestFit="1" customWidth="1"/>
    <col min="5" max="5" width="8.109375" style="3" bestFit="1" customWidth="1"/>
    <col min="6" max="6" width="10.21875" style="3" bestFit="1" customWidth="1"/>
    <col min="7" max="7" width="9.88671875" style="3" bestFit="1" customWidth="1"/>
    <col min="8" max="8" width="17.6640625" style="3" bestFit="1" customWidth="1"/>
    <col min="9" max="9" width="11" style="3" bestFit="1" customWidth="1"/>
    <col min="10" max="10" width="14.21875" style="3" bestFit="1" customWidth="1"/>
    <col min="11" max="11" width="13.88671875" style="3" bestFit="1" customWidth="1"/>
    <col min="12" max="12" width="8.88671875" style="3"/>
    <col min="13" max="13" width="35" bestFit="1" customWidth="1"/>
    <col min="14" max="15" width="10.6640625" bestFit="1" customWidth="1"/>
    <col min="16" max="16" width="9.77734375" bestFit="1" customWidth="1"/>
    <col min="17" max="18" width="9.109375" bestFit="1" customWidth="1"/>
  </cols>
  <sheetData>
    <row r="2" spans="2:18" x14ac:dyDescent="0.3">
      <c r="B2" s="2" t="s">
        <v>0</v>
      </c>
      <c r="C2" s="3">
        <v>100000</v>
      </c>
    </row>
    <row r="3" spans="2:18" x14ac:dyDescent="0.3">
      <c r="B3" s="2" t="s">
        <v>1</v>
      </c>
      <c r="C3" s="3">
        <v>0.12</v>
      </c>
    </row>
    <row r="4" spans="2:18" x14ac:dyDescent="0.3">
      <c r="B4" s="2" t="s">
        <v>2</v>
      </c>
      <c r="C4" s="3">
        <v>60</v>
      </c>
    </row>
    <row r="5" spans="2:18" x14ac:dyDescent="0.3">
      <c r="B5" s="2" t="s">
        <v>3</v>
      </c>
      <c r="C5" s="3">
        <v>2224</v>
      </c>
    </row>
    <row r="6" spans="2:18" x14ac:dyDescent="0.3">
      <c r="B6" s="2" t="s">
        <v>4</v>
      </c>
      <c r="C6" s="3" t="s">
        <v>28</v>
      </c>
    </row>
    <row r="9" spans="2:18" x14ac:dyDescent="0.3">
      <c r="B9" s="2" t="s">
        <v>5</v>
      </c>
      <c r="C9" s="3" t="s">
        <v>6</v>
      </c>
      <c r="D9" s="3" t="s">
        <v>7</v>
      </c>
      <c r="E9" s="3" t="s">
        <v>8</v>
      </c>
      <c r="F9" s="3" t="s">
        <v>9</v>
      </c>
      <c r="G9" s="3" t="s">
        <v>3</v>
      </c>
      <c r="H9" s="3" t="s">
        <v>10</v>
      </c>
      <c r="I9" s="3" t="s">
        <v>11</v>
      </c>
      <c r="J9" s="3" t="s">
        <v>12</v>
      </c>
      <c r="K9" s="3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</row>
    <row r="10" spans="2:18" x14ac:dyDescent="0.3">
      <c r="B10" s="2">
        <v>45670</v>
      </c>
      <c r="C10" s="3">
        <f>$C$2</f>
        <v>100000</v>
      </c>
      <c r="D10" s="3">
        <v>30.416666666666668</v>
      </c>
      <c r="E10" s="3">
        <f t="shared" ref="E10:E41" si="0">C10*$C$3*D10/365</f>
        <v>1000</v>
      </c>
      <c r="F10" s="3">
        <v>0</v>
      </c>
      <c r="G10" s="3">
        <f t="shared" ref="G10:G41" si="1">$C$5</f>
        <v>2224</v>
      </c>
      <c r="H10" s="3">
        <f t="shared" ref="H10:H41" si="2">G10-E10</f>
        <v>1224</v>
      </c>
      <c r="I10" s="3">
        <f t="shared" ref="I10:I41" si="3">E10</f>
        <v>1000</v>
      </c>
      <c r="J10" s="3">
        <v>0</v>
      </c>
      <c r="K10" s="3">
        <f t="shared" ref="K10:K41" si="4">C10 - H10</f>
        <v>98776</v>
      </c>
      <c r="M10" t="s">
        <v>20</v>
      </c>
      <c r="N10" s="3">
        <f>SUM(G12:G23)</f>
        <v>26688</v>
      </c>
      <c r="O10" s="3">
        <f>SUM(G24:G35)</f>
        <v>26688</v>
      </c>
      <c r="P10" s="3">
        <f>SUM(G36:G47)</f>
        <v>26688</v>
      </c>
      <c r="Q10" s="3">
        <f>SUM(G48:G59)</f>
        <v>26688</v>
      </c>
      <c r="R10" s="3">
        <f>SUM(G60:G69)</f>
        <v>22240</v>
      </c>
    </row>
    <row r="11" spans="2:18" x14ac:dyDescent="0.3">
      <c r="B11" s="2">
        <v>45701</v>
      </c>
      <c r="C11" s="3">
        <f t="shared" ref="C11:C42" si="5">K10</f>
        <v>98776</v>
      </c>
      <c r="D11" s="3">
        <v>30.416699999999999</v>
      </c>
      <c r="E11" s="3">
        <f t="shared" si="0"/>
        <v>987.7610824767122</v>
      </c>
      <c r="F11" s="3">
        <v>0</v>
      </c>
      <c r="G11" s="3">
        <f t="shared" si="1"/>
        <v>2224</v>
      </c>
      <c r="H11" s="3">
        <f t="shared" si="2"/>
        <v>1236.2389175232879</v>
      </c>
      <c r="I11" s="3">
        <f t="shared" si="3"/>
        <v>987.7610824767122</v>
      </c>
      <c r="J11" s="3">
        <v>0</v>
      </c>
      <c r="K11" s="3">
        <f t="shared" si="4"/>
        <v>97539.761082476718</v>
      </c>
      <c r="M11" t="s">
        <v>21</v>
      </c>
      <c r="N11" s="3">
        <f>SUM(G24:G69)</f>
        <v>102304</v>
      </c>
      <c r="O11" s="3">
        <f>SUM(G36:G69)</f>
        <v>75616</v>
      </c>
      <c r="P11" s="3">
        <f>SUM(G48:G69)</f>
        <v>48928</v>
      </c>
      <c r="Q11" s="3">
        <f>SUM(G60:G69)</f>
        <v>22240</v>
      </c>
    </row>
    <row r="12" spans="2:18" x14ac:dyDescent="0.3">
      <c r="B12" s="2">
        <v>45729</v>
      </c>
      <c r="C12" s="3">
        <f t="shared" si="5"/>
        <v>97539.761082476718</v>
      </c>
      <c r="D12" s="3">
        <v>30.416699999999999</v>
      </c>
      <c r="E12" s="3">
        <f t="shared" si="0"/>
        <v>975.39867975365564</v>
      </c>
      <c r="F12" s="3">
        <v>0</v>
      </c>
      <c r="G12" s="3">
        <f t="shared" si="1"/>
        <v>2224</v>
      </c>
      <c r="H12" s="3">
        <f t="shared" si="2"/>
        <v>1248.6013202463444</v>
      </c>
      <c r="I12" s="3">
        <f t="shared" si="3"/>
        <v>975.39867975365564</v>
      </c>
      <c r="J12" s="3">
        <v>0</v>
      </c>
      <c r="K12" s="3">
        <f t="shared" si="4"/>
        <v>96291.159762230367</v>
      </c>
      <c r="M12" t="s">
        <v>22</v>
      </c>
    </row>
    <row r="13" spans="2:18" x14ac:dyDescent="0.3">
      <c r="B13" s="2">
        <v>45760</v>
      </c>
      <c r="C13" s="3">
        <f t="shared" si="5"/>
        <v>96291.159762230367</v>
      </c>
      <c r="D13" s="3">
        <v>30.416699999999999</v>
      </c>
      <c r="E13" s="3">
        <f t="shared" si="0"/>
        <v>962.91265286789007</v>
      </c>
      <c r="F13" s="3">
        <v>0</v>
      </c>
      <c r="G13" s="3">
        <f t="shared" si="1"/>
        <v>2224</v>
      </c>
      <c r="H13" s="3">
        <f t="shared" si="2"/>
        <v>1261.0873471321099</v>
      </c>
      <c r="I13" s="3">
        <f t="shared" si="3"/>
        <v>962.91265286789007</v>
      </c>
      <c r="J13" s="3">
        <v>0</v>
      </c>
      <c r="K13" s="3">
        <f t="shared" si="4"/>
        <v>95030.072415098257</v>
      </c>
    </row>
    <row r="14" spans="2:18" x14ac:dyDescent="0.3">
      <c r="B14" s="2">
        <v>45790</v>
      </c>
      <c r="C14" s="3">
        <f t="shared" si="5"/>
        <v>95030.072415098257</v>
      </c>
      <c r="D14" s="3">
        <v>30.416699999999999</v>
      </c>
      <c r="E14" s="3">
        <f t="shared" si="0"/>
        <v>950.3017655764337</v>
      </c>
      <c r="F14" s="3">
        <v>0</v>
      </c>
      <c r="G14" s="3">
        <f t="shared" si="1"/>
        <v>2224</v>
      </c>
      <c r="H14" s="3">
        <f t="shared" si="2"/>
        <v>1273.6982344235662</v>
      </c>
      <c r="I14" s="3">
        <f t="shared" si="3"/>
        <v>950.3017655764337</v>
      </c>
      <c r="J14" s="3">
        <v>0</v>
      </c>
      <c r="K14" s="3">
        <f t="shared" si="4"/>
        <v>93756.374180674684</v>
      </c>
      <c r="M14" t="s">
        <v>23</v>
      </c>
      <c r="N14" s="3">
        <f>SUM(N10,N11,N12)</f>
        <v>128992</v>
      </c>
      <c r="O14" s="3">
        <f>SUM(O10,O11,O12)</f>
        <v>102304</v>
      </c>
      <c r="P14" s="3">
        <f>SUM(P10,P11,P12)</f>
        <v>75616</v>
      </c>
      <c r="Q14" s="3">
        <f>SUM(Q10,Q11,Q12)</f>
        <v>48928</v>
      </c>
      <c r="R14" s="3">
        <f>SUM(R10,R11,R12)</f>
        <v>22240</v>
      </c>
    </row>
    <row r="15" spans="2:18" x14ac:dyDescent="0.3">
      <c r="B15" s="2">
        <v>45821</v>
      </c>
      <c r="C15" s="3">
        <f t="shared" si="5"/>
        <v>93756.374180674684</v>
      </c>
      <c r="D15" s="3">
        <v>30.416699999999999</v>
      </c>
      <c r="E15" s="3">
        <f t="shared" si="0"/>
        <v>937.56476927386097</v>
      </c>
      <c r="F15" s="3">
        <v>0</v>
      </c>
      <c r="G15" s="3">
        <f t="shared" si="1"/>
        <v>2224</v>
      </c>
      <c r="H15" s="3">
        <f t="shared" si="2"/>
        <v>1286.435230726139</v>
      </c>
      <c r="I15" s="3">
        <f t="shared" si="3"/>
        <v>937.56476927386097</v>
      </c>
      <c r="J15" s="3">
        <v>0</v>
      </c>
      <c r="K15" s="3">
        <f t="shared" si="4"/>
        <v>92469.938949948541</v>
      </c>
    </row>
    <row r="16" spans="2:18" x14ac:dyDescent="0.3">
      <c r="B16" s="2">
        <v>45851</v>
      </c>
      <c r="C16" s="3">
        <f t="shared" si="5"/>
        <v>92469.938949948541</v>
      </c>
      <c r="D16" s="3">
        <v>30.416699999999999</v>
      </c>
      <c r="E16" s="3">
        <f t="shared" si="0"/>
        <v>924.70040286867948</v>
      </c>
      <c r="F16" s="3">
        <v>0</v>
      </c>
      <c r="G16" s="3">
        <f t="shared" si="1"/>
        <v>2224</v>
      </c>
      <c r="H16" s="3">
        <f t="shared" si="2"/>
        <v>1299.2995971313205</v>
      </c>
      <c r="I16" s="3">
        <f t="shared" si="3"/>
        <v>924.70040286867948</v>
      </c>
      <c r="J16" s="3">
        <v>0</v>
      </c>
      <c r="K16" s="3">
        <f t="shared" si="4"/>
        <v>91170.639352817219</v>
      </c>
      <c r="M16" t="s">
        <v>24</v>
      </c>
      <c r="N16" s="3">
        <f>-SUM(E12:E69)</f>
        <v>-31488.615328263284</v>
      </c>
      <c r="O16" s="3">
        <f>-SUM(E24:E69)</f>
        <v>-20636.006299949724</v>
      </c>
      <c r="P16" s="3">
        <f>-SUM(E36:E69)</f>
        <v>-11791.723532109314</v>
      </c>
      <c r="Q16" s="3">
        <f>-SUM(E48:E69)</f>
        <v>-5210.4733578990799</v>
      </c>
      <c r="R16" s="3">
        <f>-SUM(E60:E69)</f>
        <v>-1179.2652862234886</v>
      </c>
    </row>
    <row r="17" spans="2:18" x14ac:dyDescent="0.3">
      <c r="B17" s="2">
        <v>45882</v>
      </c>
      <c r="C17" s="3">
        <f t="shared" si="5"/>
        <v>91170.639352817219</v>
      </c>
      <c r="D17" s="3">
        <v>30.416699999999999</v>
      </c>
      <c r="E17" s="3">
        <f t="shared" si="0"/>
        <v>911.70739265846646</v>
      </c>
      <c r="F17" s="3">
        <v>0</v>
      </c>
      <c r="G17" s="3">
        <f t="shared" si="1"/>
        <v>2224</v>
      </c>
      <c r="H17" s="3">
        <f t="shared" si="2"/>
        <v>1312.2926073415335</v>
      </c>
      <c r="I17" s="3">
        <f t="shared" si="3"/>
        <v>911.70739265846646</v>
      </c>
      <c r="J17" s="3">
        <v>0</v>
      </c>
      <c r="K17" s="3">
        <f t="shared" si="4"/>
        <v>89858.34674547569</v>
      </c>
      <c r="M17" t="s">
        <v>25</v>
      </c>
      <c r="N17" s="3">
        <f>SUM(N14,N16)</f>
        <v>97503.384671736712</v>
      </c>
      <c r="O17" s="3">
        <f>SUM(O14,O16)</f>
        <v>81667.993700050283</v>
      </c>
      <c r="P17" s="3">
        <f>SUM(P14,P16)</f>
        <v>63824.276467890682</v>
      </c>
      <c r="Q17" s="3">
        <f>SUM(Q14,Q16)</f>
        <v>43717.526642100922</v>
      </c>
      <c r="R17" s="3">
        <f>SUM(R14,R16)</f>
        <v>21060.73471377651</v>
      </c>
    </row>
    <row r="18" spans="2:18" x14ac:dyDescent="0.3">
      <c r="B18" s="2">
        <v>45913</v>
      </c>
      <c r="C18" s="3">
        <f t="shared" si="5"/>
        <v>89858.34674547569</v>
      </c>
      <c r="D18" s="3">
        <v>30.416699999999999</v>
      </c>
      <c r="E18" s="3">
        <f t="shared" si="0"/>
        <v>898.58445220376211</v>
      </c>
      <c r="F18" s="3">
        <v>0</v>
      </c>
      <c r="G18" s="3">
        <f t="shared" si="1"/>
        <v>2224</v>
      </c>
      <c r="H18" s="3">
        <f t="shared" si="2"/>
        <v>1325.4155477962379</v>
      </c>
      <c r="I18" s="3">
        <f t="shared" si="3"/>
        <v>898.58445220376211</v>
      </c>
      <c r="J18" s="3">
        <v>0</v>
      </c>
      <c r="K18" s="3">
        <f t="shared" si="4"/>
        <v>88532.931197679456</v>
      </c>
    </row>
    <row r="19" spans="2:18" x14ac:dyDescent="0.3">
      <c r="B19" s="2">
        <v>45943</v>
      </c>
      <c r="C19" s="3">
        <f t="shared" si="5"/>
        <v>88532.931197679456</v>
      </c>
      <c r="D19" s="3">
        <v>30.416699999999999</v>
      </c>
      <c r="E19" s="3">
        <f t="shared" si="0"/>
        <v>885.33028220069809</v>
      </c>
      <c r="F19" s="3">
        <v>0</v>
      </c>
      <c r="G19" s="3">
        <f t="shared" si="1"/>
        <v>2224</v>
      </c>
      <c r="H19" s="3">
        <f t="shared" si="2"/>
        <v>1338.6697177993019</v>
      </c>
      <c r="I19" s="3">
        <f t="shared" si="3"/>
        <v>885.33028220069809</v>
      </c>
      <c r="J19" s="3">
        <v>0</v>
      </c>
      <c r="K19" s="3">
        <f t="shared" si="4"/>
        <v>87194.261479880151</v>
      </c>
      <c r="M19" t="s">
        <v>20</v>
      </c>
      <c r="N19" s="3">
        <f>SUM(H12:H23)</f>
        <v>15835.390971686444</v>
      </c>
      <c r="O19" s="3">
        <f>SUM(H24:H35)</f>
        <v>17843.717232159594</v>
      </c>
      <c r="P19" s="3">
        <f>SUM(H36:H47)</f>
        <v>20106.749825789761</v>
      </c>
      <c r="Q19" s="3">
        <f>SUM(H48:H59)</f>
        <v>22656.791928324412</v>
      </c>
      <c r="R19" s="3">
        <f>SUM(H60:H69)</f>
        <v>21060.73471377651</v>
      </c>
    </row>
    <row r="20" spans="2:18" x14ac:dyDescent="0.3">
      <c r="B20" s="2">
        <v>45974</v>
      </c>
      <c r="C20" s="3">
        <f t="shared" si="5"/>
        <v>87194.261479880151</v>
      </c>
      <c r="D20" s="3">
        <v>30.416699999999999</v>
      </c>
      <c r="E20" s="3">
        <f t="shared" si="0"/>
        <v>871.94357035235191</v>
      </c>
      <c r="F20" s="3">
        <v>0</v>
      </c>
      <c r="G20" s="3">
        <f t="shared" si="1"/>
        <v>2224</v>
      </c>
      <c r="H20" s="3">
        <f t="shared" si="2"/>
        <v>1352.0564296476482</v>
      </c>
      <c r="I20" s="3">
        <f t="shared" si="3"/>
        <v>871.94357035235191</v>
      </c>
      <c r="J20" s="3">
        <v>0</v>
      </c>
      <c r="K20" s="3">
        <f t="shared" si="4"/>
        <v>85842.2050502325</v>
      </c>
      <c r="M20" t="s">
        <v>21</v>
      </c>
      <c r="N20" s="3">
        <f>SUM(H24:H69)</f>
        <v>81667.993700050254</v>
      </c>
      <c r="O20" s="3">
        <f>SUM(H36:H69)</f>
        <v>63824.276467890675</v>
      </c>
      <c r="P20" s="3">
        <f>SUM(H48:H69)</f>
        <v>43717.526642100915</v>
      </c>
      <c r="Q20" s="3">
        <f>SUM(H60:H69)</f>
        <v>21060.73471377651</v>
      </c>
    </row>
    <row r="21" spans="2:18" x14ac:dyDescent="0.3">
      <c r="B21" s="2">
        <v>46004</v>
      </c>
      <c r="C21" s="3">
        <f t="shared" si="5"/>
        <v>85842.2050502325</v>
      </c>
      <c r="D21" s="3">
        <v>30.416699999999999</v>
      </c>
      <c r="E21" s="3">
        <f t="shared" si="0"/>
        <v>858.42299123881867</v>
      </c>
      <c r="F21" s="3">
        <v>0</v>
      </c>
      <c r="G21" s="3">
        <f t="shared" si="1"/>
        <v>2224</v>
      </c>
      <c r="H21" s="3">
        <f t="shared" si="2"/>
        <v>1365.5770087611813</v>
      </c>
      <c r="I21" s="3">
        <f t="shared" si="3"/>
        <v>858.42299123881867</v>
      </c>
      <c r="J21" s="3">
        <v>0</v>
      </c>
      <c r="K21" s="3">
        <f t="shared" si="4"/>
        <v>84476.628041471326</v>
      </c>
      <c r="M21" t="s">
        <v>22</v>
      </c>
    </row>
    <row r="22" spans="2:18" x14ac:dyDescent="0.3">
      <c r="B22" s="2">
        <v>46035</v>
      </c>
      <c r="C22" s="3">
        <f t="shared" si="5"/>
        <v>84476.628041471326</v>
      </c>
      <c r="D22" s="3">
        <v>30.416699999999999</v>
      </c>
      <c r="E22" s="3">
        <f t="shared" si="0"/>
        <v>844.76720618597938</v>
      </c>
      <c r="F22" s="3">
        <v>0</v>
      </c>
      <c r="G22" s="3">
        <f t="shared" si="1"/>
        <v>2224</v>
      </c>
      <c r="H22" s="3">
        <f t="shared" si="2"/>
        <v>1379.2327938140206</v>
      </c>
      <c r="I22" s="3">
        <f t="shared" si="3"/>
        <v>844.76720618597938</v>
      </c>
      <c r="J22" s="3">
        <v>0</v>
      </c>
      <c r="K22" s="3">
        <f t="shared" si="4"/>
        <v>83097.395247657303</v>
      </c>
      <c r="M22" t="s">
        <v>27</v>
      </c>
      <c r="N22" s="3">
        <f>SUM(N19,N20,N21)</f>
        <v>97503.384671736698</v>
      </c>
      <c r="O22" s="3">
        <f>SUM(O19,O20,O21)</f>
        <v>81667.993700050269</v>
      </c>
      <c r="P22" s="3">
        <f>SUM(P19,P20,P21)</f>
        <v>63824.276467890675</v>
      </c>
      <c r="Q22" s="3">
        <f>SUM(Q19,Q20,Q21)</f>
        <v>43717.526642100922</v>
      </c>
      <c r="R22" s="3">
        <f>SUM(R19,R20,R21)</f>
        <v>21060.73471377651</v>
      </c>
    </row>
    <row r="23" spans="2:18" x14ac:dyDescent="0.3">
      <c r="B23" s="2">
        <v>46066</v>
      </c>
      <c r="C23" s="3">
        <f t="shared" si="5"/>
        <v>83097.395247657303</v>
      </c>
      <c r="D23" s="3">
        <v>30.416699999999999</v>
      </c>
      <c r="E23" s="3">
        <f t="shared" si="0"/>
        <v>830.97486313295917</v>
      </c>
      <c r="F23" s="3">
        <v>0</v>
      </c>
      <c r="G23" s="3">
        <f t="shared" si="1"/>
        <v>2224</v>
      </c>
      <c r="H23" s="3">
        <f t="shared" si="2"/>
        <v>1393.0251368670408</v>
      </c>
      <c r="I23" s="3">
        <f t="shared" si="3"/>
        <v>830.97486313295917</v>
      </c>
      <c r="J23" s="3">
        <v>0</v>
      </c>
      <c r="K23" s="3">
        <f t="shared" si="4"/>
        <v>81704.37011079026</v>
      </c>
    </row>
    <row r="24" spans="2:18" x14ac:dyDescent="0.3">
      <c r="B24" s="2">
        <v>46094</v>
      </c>
      <c r="C24" s="3">
        <f t="shared" si="5"/>
        <v>81704.37011079026</v>
      </c>
      <c r="D24" s="3">
        <v>30.416699999999999</v>
      </c>
      <c r="E24" s="3">
        <f t="shared" si="0"/>
        <v>817.04459649825992</v>
      </c>
      <c r="F24" s="3">
        <v>0</v>
      </c>
      <c r="G24" s="3">
        <f t="shared" si="1"/>
        <v>2224</v>
      </c>
      <c r="H24" s="3">
        <f t="shared" si="2"/>
        <v>1406.95540350174</v>
      </c>
      <c r="I24" s="3">
        <f t="shared" si="3"/>
        <v>817.04459649825992</v>
      </c>
      <c r="J24" s="3">
        <v>0</v>
      </c>
      <c r="K24" s="3">
        <f t="shared" si="4"/>
        <v>80297.414707288524</v>
      </c>
    </row>
    <row r="25" spans="2:18" x14ac:dyDescent="0.3">
      <c r="B25" s="2">
        <v>46125</v>
      </c>
      <c r="C25" s="3">
        <f t="shared" si="5"/>
        <v>80297.414707288524</v>
      </c>
      <c r="D25" s="3">
        <v>30.416699999999999</v>
      </c>
      <c r="E25" s="3">
        <f t="shared" si="0"/>
        <v>802.97502704455314</v>
      </c>
      <c r="F25" s="3">
        <v>0</v>
      </c>
      <c r="G25" s="3">
        <f t="shared" si="1"/>
        <v>2224</v>
      </c>
      <c r="H25" s="3">
        <f t="shared" si="2"/>
        <v>1421.0249729554469</v>
      </c>
      <c r="I25" s="3">
        <f t="shared" si="3"/>
        <v>802.97502704455314</v>
      </c>
      <c r="J25" s="3">
        <v>0</v>
      </c>
      <c r="K25" s="3">
        <f t="shared" si="4"/>
        <v>78876.389734333075</v>
      </c>
    </row>
    <row r="26" spans="2:18" x14ac:dyDescent="0.3">
      <c r="B26" s="2">
        <v>46155</v>
      </c>
      <c r="C26" s="3">
        <f t="shared" si="5"/>
        <v>78876.389734333075</v>
      </c>
      <c r="D26" s="3">
        <v>30.416699999999999</v>
      </c>
      <c r="E26" s="3">
        <f t="shared" si="0"/>
        <v>788.76476174212235</v>
      </c>
      <c r="F26" s="3">
        <v>0</v>
      </c>
      <c r="G26" s="3">
        <f t="shared" si="1"/>
        <v>2224</v>
      </c>
      <c r="H26" s="3">
        <f t="shared" si="2"/>
        <v>1435.2352382578777</v>
      </c>
      <c r="I26" s="3">
        <f t="shared" si="3"/>
        <v>788.76476174212235</v>
      </c>
      <c r="J26" s="3">
        <v>0</v>
      </c>
      <c r="K26" s="3">
        <f t="shared" si="4"/>
        <v>77441.154496075193</v>
      </c>
    </row>
    <row r="27" spans="2:18" x14ac:dyDescent="0.3">
      <c r="B27" s="2">
        <v>46186</v>
      </c>
      <c r="C27" s="3">
        <f t="shared" si="5"/>
        <v>77441.154496075193</v>
      </c>
      <c r="D27" s="3">
        <v>30.416699999999999</v>
      </c>
      <c r="E27" s="3">
        <f t="shared" si="0"/>
        <v>774.41239363093814</v>
      </c>
      <c r="F27" s="3">
        <v>0</v>
      </c>
      <c r="G27" s="3">
        <f t="shared" si="1"/>
        <v>2224</v>
      </c>
      <c r="H27" s="3">
        <f t="shared" si="2"/>
        <v>1449.5876063690619</v>
      </c>
      <c r="I27" s="3">
        <f t="shared" si="3"/>
        <v>774.41239363093814</v>
      </c>
      <c r="J27" s="3">
        <v>0</v>
      </c>
      <c r="K27" s="3">
        <f t="shared" si="4"/>
        <v>75991.566889706126</v>
      </c>
    </row>
    <row r="28" spans="2:18" x14ac:dyDescent="0.3">
      <c r="B28" s="2">
        <v>46216</v>
      </c>
      <c r="C28" s="3">
        <f t="shared" si="5"/>
        <v>75991.566889706126</v>
      </c>
      <c r="D28" s="3">
        <v>30.416699999999999</v>
      </c>
      <c r="E28" s="3">
        <f t="shared" si="0"/>
        <v>759.91650168135595</v>
      </c>
      <c r="F28" s="3">
        <v>0</v>
      </c>
      <c r="G28" s="3">
        <f t="shared" si="1"/>
        <v>2224</v>
      </c>
      <c r="H28" s="3">
        <f t="shared" si="2"/>
        <v>1464.0834983186442</v>
      </c>
      <c r="I28" s="3">
        <f t="shared" si="3"/>
        <v>759.91650168135595</v>
      </c>
      <c r="J28" s="3">
        <v>0</v>
      </c>
      <c r="K28" s="3">
        <f t="shared" si="4"/>
        <v>74527.483391387475</v>
      </c>
    </row>
    <row r="29" spans="2:18" x14ac:dyDescent="0.3">
      <c r="B29" s="2">
        <v>46247</v>
      </c>
      <c r="C29" s="3">
        <f t="shared" si="5"/>
        <v>74527.483391387475</v>
      </c>
      <c r="D29" s="3">
        <v>30.416699999999999</v>
      </c>
      <c r="E29" s="3">
        <f t="shared" si="0"/>
        <v>745.27565065341878</v>
      </c>
      <c r="F29" s="3">
        <v>0</v>
      </c>
      <c r="G29" s="3">
        <f t="shared" si="1"/>
        <v>2224</v>
      </c>
      <c r="H29" s="3">
        <f t="shared" si="2"/>
        <v>1478.7243493465812</v>
      </c>
      <c r="I29" s="3">
        <f t="shared" si="3"/>
        <v>745.27565065341878</v>
      </c>
      <c r="J29" s="3">
        <v>0</v>
      </c>
      <c r="K29" s="3">
        <f t="shared" si="4"/>
        <v>73048.759042040896</v>
      </c>
    </row>
    <row r="30" spans="2:18" x14ac:dyDescent="0.3">
      <c r="B30" s="2">
        <v>46278</v>
      </c>
      <c r="C30" s="3">
        <f t="shared" si="5"/>
        <v>73048.759042040896</v>
      </c>
      <c r="D30" s="3">
        <v>30.416699999999999</v>
      </c>
      <c r="E30" s="3">
        <f t="shared" si="0"/>
        <v>730.48839095475455</v>
      </c>
      <c r="F30" s="3">
        <v>0</v>
      </c>
      <c r="G30" s="3">
        <f t="shared" si="1"/>
        <v>2224</v>
      </c>
      <c r="H30" s="3">
        <f t="shared" si="2"/>
        <v>1493.5116090452455</v>
      </c>
      <c r="I30" s="3">
        <f t="shared" si="3"/>
        <v>730.48839095475455</v>
      </c>
      <c r="J30" s="3">
        <v>0</v>
      </c>
      <c r="K30" s="3">
        <f t="shared" si="4"/>
        <v>71555.247432995646</v>
      </c>
    </row>
    <row r="31" spans="2:18" x14ac:dyDescent="0.3">
      <c r="B31" s="2">
        <v>46308</v>
      </c>
      <c r="C31" s="3">
        <f t="shared" si="5"/>
        <v>71555.247432995646</v>
      </c>
      <c r="D31" s="3">
        <v>30.416699999999999</v>
      </c>
      <c r="E31" s="3">
        <f t="shared" si="0"/>
        <v>715.5532584970515</v>
      </c>
      <c r="F31" s="3">
        <v>0</v>
      </c>
      <c r="G31" s="3">
        <f t="shared" si="1"/>
        <v>2224</v>
      </c>
      <c r="H31" s="3">
        <f t="shared" si="2"/>
        <v>1508.4467415029485</v>
      </c>
      <c r="I31" s="3">
        <f t="shared" si="3"/>
        <v>715.5532584970515</v>
      </c>
      <c r="J31" s="3">
        <v>0</v>
      </c>
      <c r="K31" s="3">
        <f t="shared" si="4"/>
        <v>70046.800691492695</v>
      </c>
    </row>
    <row r="32" spans="2:18" x14ac:dyDescent="0.3">
      <c r="B32" s="2">
        <v>46339</v>
      </c>
      <c r="C32" s="3">
        <f t="shared" si="5"/>
        <v>70046.800691492695</v>
      </c>
      <c r="D32" s="3">
        <v>30.416699999999999</v>
      </c>
      <c r="E32" s="3">
        <f t="shared" si="0"/>
        <v>700.46877455109882</v>
      </c>
      <c r="F32" s="3">
        <v>0</v>
      </c>
      <c r="G32" s="3">
        <f t="shared" si="1"/>
        <v>2224</v>
      </c>
      <c r="H32" s="3">
        <f t="shared" si="2"/>
        <v>1523.5312254489013</v>
      </c>
      <c r="I32" s="3">
        <f t="shared" si="3"/>
        <v>700.46877455109882</v>
      </c>
      <c r="J32" s="3">
        <v>0</v>
      </c>
      <c r="K32" s="3">
        <f t="shared" si="4"/>
        <v>68523.269466043799</v>
      </c>
    </row>
    <row r="33" spans="2:11" x14ac:dyDescent="0.3">
      <c r="B33" s="2">
        <v>46369</v>
      </c>
      <c r="C33" s="3">
        <f t="shared" si="5"/>
        <v>68523.269466043799</v>
      </c>
      <c r="D33" s="3">
        <v>30.416699999999999</v>
      </c>
      <c r="E33" s="3">
        <f t="shared" si="0"/>
        <v>685.23344560037731</v>
      </c>
      <c r="F33" s="3">
        <v>0</v>
      </c>
      <c r="G33" s="3">
        <f t="shared" si="1"/>
        <v>2224</v>
      </c>
      <c r="H33" s="3">
        <f t="shared" si="2"/>
        <v>1538.7665543996227</v>
      </c>
      <c r="I33" s="3">
        <f t="shared" si="3"/>
        <v>685.23344560037731</v>
      </c>
      <c r="J33" s="3">
        <v>0</v>
      </c>
      <c r="K33" s="3">
        <f t="shared" si="4"/>
        <v>66984.502911644173</v>
      </c>
    </row>
    <row r="34" spans="2:11" x14ac:dyDescent="0.3">
      <c r="B34" s="2">
        <v>46400</v>
      </c>
      <c r="C34" s="3">
        <f t="shared" si="5"/>
        <v>66984.502911644173</v>
      </c>
      <c r="D34" s="3">
        <v>30.416699999999999</v>
      </c>
      <c r="E34" s="3">
        <f t="shared" si="0"/>
        <v>669.84576319318592</v>
      </c>
      <c r="F34" s="3">
        <v>0</v>
      </c>
      <c r="G34" s="3">
        <f t="shared" si="1"/>
        <v>2224</v>
      </c>
      <c r="H34" s="3">
        <f t="shared" si="2"/>
        <v>1554.154236806814</v>
      </c>
      <c r="I34" s="3">
        <f t="shared" si="3"/>
        <v>669.84576319318592</v>
      </c>
      <c r="J34" s="3">
        <v>0</v>
      </c>
      <c r="K34" s="3">
        <f t="shared" si="4"/>
        <v>65430.348674837362</v>
      </c>
    </row>
    <row r="35" spans="2:11" x14ac:dyDescent="0.3">
      <c r="B35" s="2">
        <v>46431</v>
      </c>
      <c r="C35" s="3">
        <f t="shared" si="5"/>
        <v>65430.348674837362</v>
      </c>
      <c r="D35" s="3">
        <v>30.416699999999999</v>
      </c>
      <c r="E35" s="3">
        <f t="shared" si="0"/>
        <v>654.30420379329053</v>
      </c>
      <c r="F35" s="3">
        <v>0</v>
      </c>
      <c r="G35" s="3">
        <f t="shared" si="1"/>
        <v>2224</v>
      </c>
      <c r="H35" s="3">
        <f t="shared" si="2"/>
        <v>1569.6957962067095</v>
      </c>
      <c r="I35" s="3">
        <f t="shared" si="3"/>
        <v>654.30420379329053</v>
      </c>
      <c r="J35" s="3">
        <v>0</v>
      </c>
      <c r="K35" s="3">
        <f t="shared" si="4"/>
        <v>63860.652878630652</v>
      </c>
    </row>
    <row r="36" spans="2:11" x14ac:dyDescent="0.3">
      <c r="B36" s="2">
        <v>46459</v>
      </c>
      <c r="C36" s="3">
        <f t="shared" si="5"/>
        <v>63860.652878630652</v>
      </c>
      <c r="D36" s="3">
        <v>30.416699999999999</v>
      </c>
      <c r="E36" s="3">
        <f t="shared" si="0"/>
        <v>638.60722862907767</v>
      </c>
      <c r="F36" s="3">
        <v>0</v>
      </c>
      <c r="G36" s="3">
        <f t="shared" si="1"/>
        <v>2224</v>
      </c>
      <c r="H36" s="3">
        <f t="shared" si="2"/>
        <v>1585.3927713709222</v>
      </c>
      <c r="I36" s="3">
        <f t="shared" si="3"/>
        <v>638.60722862907767</v>
      </c>
      <c r="J36" s="3">
        <v>0</v>
      </c>
      <c r="K36" s="3">
        <f t="shared" si="4"/>
        <v>62275.260107259732</v>
      </c>
    </row>
    <row r="37" spans="2:11" x14ac:dyDescent="0.3">
      <c r="B37" s="2">
        <v>46490</v>
      </c>
      <c r="C37" s="3">
        <f t="shared" si="5"/>
        <v>62275.260107259732</v>
      </c>
      <c r="D37" s="3">
        <v>30.416699999999999</v>
      </c>
      <c r="E37" s="3">
        <f t="shared" si="0"/>
        <v>622.7532835412012</v>
      </c>
      <c r="F37" s="3">
        <v>0</v>
      </c>
      <c r="G37" s="3">
        <f t="shared" si="1"/>
        <v>2224</v>
      </c>
      <c r="H37" s="3">
        <f t="shared" si="2"/>
        <v>1601.2467164587988</v>
      </c>
      <c r="I37" s="3">
        <f t="shared" si="3"/>
        <v>622.7532835412012</v>
      </c>
      <c r="J37" s="3">
        <v>0</v>
      </c>
      <c r="K37" s="3">
        <f t="shared" si="4"/>
        <v>60674.01339080093</v>
      </c>
    </row>
    <row r="38" spans="2:11" x14ac:dyDescent="0.3">
      <c r="B38" s="2">
        <v>46520</v>
      </c>
      <c r="C38" s="3">
        <f t="shared" si="5"/>
        <v>60674.01339080093</v>
      </c>
      <c r="D38" s="3">
        <v>30.416699999999999</v>
      </c>
      <c r="E38" s="3">
        <f t="shared" si="0"/>
        <v>606.74079882870399</v>
      </c>
      <c r="F38" s="3">
        <v>0</v>
      </c>
      <c r="G38" s="3">
        <f t="shared" si="1"/>
        <v>2224</v>
      </c>
      <c r="H38" s="3">
        <f t="shared" si="2"/>
        <v>1617.2592011712959</v>
      </c>
      <c r="I38" s="3">
        <f t="shared" si="3"/>
        <v>606.74079882870399</v>
      </c>
      <c r="J38" s="3">
        <v>0</v>
      </c>
      <c r="K38" s="3">
        <f t="shared" si="4"/>
        <v>59056.754189629632</v>
      </c>
    </row>
    <row r="39" spans="2:11" x14ac:dyDescent="0.3">
      <c r="B39" s="2">
        <v>46551</v>
      </c>
      <c r="C39" s="3">
        <f t="shared" si="5"/>
        <v>59056.754189629632</v>
      </c>
      <c r="D39" s="3">
        <v>30.416699999999999</v>
      </c>
      <c r="E39" s="3">
        <f t="shared" si="0"/>
        <v>590.56818909360243</v>
      </c>
      <c r="F39" s="3">
        <v>0</v>
      </c>
      <c r="G39" s="3">
        <f t="shared" si="1"/>
        <v>2224</v>
      </c>
      <c r="H39" s="3">
        <f t="shared" si="2"/>
        <v>1633.4318109063975</v>
      </c>
      <c r="I39" s="3">
        <f t="shared" si="3"/>
        <v>590.56818909360243</v>
      </c>
      <c r="J39" s="3">
        <v>0</v>
      </c>
      <c r="K39" s="3">
        <f t="shared" si="4"/>
        <v>57423.322378723235</v>
      </c>
    </row>
    <row r="40" spans="2:11" x14ac:dyDescent="0.3">
      <c r="B40" s="2">
        <v>46581</v>
      </c>
      <c r="C40" s="3">
        <f t="shared" si="5"/>
        <v>57423.322378723235</v>
      </c>
      <c r="D40" s="3">
        <v>30.416699999999999</v>
      </c>
      <c r="E40" s="3">
        <f t="shared" si="0"/>
        <v>574.23385308391596</v>
      </c>
      <c r="F40" s="3">
        <v>0</v>
      </c>
      <c r="G40" s="3">
        <f t="shared" si="1"/>
        <v>2224</v>
      </c>
      <c r="H40" s="3">
        <f t="shared" si="2"/>
        <v>1649.7661469160839</v>
      </c>
      <c r="I40" s="3">
        <f t="shared" si="3"/>
        <v>574.23385308391596</v>
      </c>
      <c r="J40" s="3">
        <v>0</v>
      </c>
      <c r="K40" s="3">
        <f t="shared" si="4"/>
        <v>55773.556231807153</v>
      </c>
    </row>
    <row r="41" spans="2:11" x14ac:dyDescent="0.3">
      <c r="B41" s="2">
        <v>46612</v>
      </c>
      <c r="C41" s="3">
        <f t="shared" si="5"/>
        <v>55773.556231807153</v>
      </c>
      <c r="D41" s="3">
        <v>30.416699999999999</v>
      </c>
      <c r="E41" s="3">
        <f t="shared" si="0"/>
        <v>557.73617353512611</v>
      </c>
      <c r="F41" s="3">
        <v>0</v>
      </c>
      <c r="G41" s="3">
        <f t="shared" si="1"/>
        <v>2224</v>
      </c>
      <c r="H41" s="3">
        <f t="shared" si="2"/>
        <v>1666.263826464874</v>
      </c>
      <c r="I41" s="3">
        <f t="shared" si="3"/>
        <v>557.73617353512611</v>
      </c>
      <c r="J41" s="3">
        <v>0</v>
      </c>
      <c r="K41" s="3">
        <f t="shared" si="4"/>
        <v>54107.292405342276</v>
      </c>
    </row>
    <row r="42" spans="2:11" x14ac:dyDescent="0.3">
      <c r="B42" s="2">
        <v>46643</v>
      </c>
      <c r="C42" s="3">
        <f t="shared" si="5"/>
        <v>54107.292405342276</v>
      </c>
      <c r="D42" s="3">
        <v>30.416699999999999</v>
      </c>
      <c r="E42" s="3">
        <f t="shared" ref="E42:E69" si="6">C42*$C$3*D42/365</f>
        <v>541.07351701005177</v>
      </c>
      <c r="F42" s="3">
        <v>0</v>
      </c>
      <c r="G42" s="3">
        <f t="shared" ref="G42:G69" si="7">$C$5</f>
        <v>2224</v>
      </c>
      <c r="H42" s="3">
        <f t="shared" ref="H42:H69" si="8">G42-E42</f>
        <v>1682.9264829899482</v>
      </c>
      <c r="I42" s="3">
        <f t="shared" ref="I42:I69" si="9">E42</f>
        <v>541.07351701005177</v>
      </c>
      <c r="J42" s="3">
        <v>0</v>
      </c>
      <c r="K42" s="3">
        <f t="shared" ref="K42:K69" si="10">C42 - H42</f>
        <v>52424.365922352328</v>
      </c>
    </row>
    <row r="43" spans="2:11" x14ac:dyDescent="0.3">
      <c r="B43" s="2">
        <v>46673</v>
      </c>
      <c r="C43" s="3">
        <f t="shared" ref="C43:C69" si="11">K42</f>
        <v>52424.365922352328</v>
      </c>
      <c r="D43" s="3">
        <v>30.416699999999999</v>
      </c>
      <c r="E43" s="3">
        <f t="shared" si="6"/>
        <v>524.24423373712239</v>
      </c>
      <c r="F43" s="3">
        <v>0</v>
      </c>
      <c r="G43" s="3">
        <f t="shared" si="7"/>
        <v>2224</v>
      </c>
      <c r="H43" s="3">
        <f t="shared" si="8"/>
        <v>1699.7557662628776</v>
      </c>
      <c r="I43" s="3">
        <f t="shared" si="9"/>
        <v>524.24423373712239</v>
      </c>
      <c r="J43" s="3">
        <v>0</v>
      </c>
      <c r="K43" s="3">
        <f t="shared" si="10"/>
        <v>50724.610156089453</v>
      </c>
    </row>
    <row r="44" spans="2:11" x14ac:dyDescent="0.3">
      <c r="B44" s="2">
        <v>46704</v>
      </c>
      <c r="C44" s="3">
        <f t="shared" si="11"/>
        <v>50724.610156089453</v>
      </c>
      <c r="D44" s="3">
        <v>30.416699999999999</v>
      </c>
      <c r="E44" s="3">
        <f t="shared" si="6"/>
        <v>507.24665744703316</v>
      </c>
      <c r="F44" s="3">
        <v>0</v>
      </c>
      <c r="G44" s="3">
        <f t="shared" si="7"/>
        <v>2224</v>
      </c>
      <c r="H44" s="3">
        <f t="shared" si="8"/>
        <v>1716.7533425529668</v>
      </c>
      <c r="I44" s="3">
        <f t="shared" si="9"/>
        <v>507.24665744703316</v>
      </c>
      <c r="J44" s="3">
        <v>0</v>
      </c>
      <c r="K44" s="3">
        <f t="shared" si="10"/>
        <v>49007.856813536484</v>
      </c>
    </row>
    <row r="45" spans="2:11" x14ac:dyDescent="0.3">
      <c r="B45" s="2">
        <v>46734</v>
      </c>
      <c r="C45" s="3">
        <f t="shared" si="11"/>
        <v>49007.856813536484</v>
      </c>
      <c r="D45" s="3">
        <v>30.416699999999999</v>
      </c>
      <c r="E45" s="3">
        <f t="shared" si="6"/>
        <v>490.07910520776824</v>
      </c>
      <c r="F45" s="3">
        <v>0</v>
      </c>
      <c r="G45" s="3">
        <f t="shared" si="7"/>
        <v>2224</v>
      </c>
      <c r="H45" s="3">
        <f t="shared" si="8"/>
        <v>1733.9208947922318</v>
      </c>
      <c r="I45" s="3">
        <f t="shared" si="9"/>
        <v>490.07910520776824</v>
      </c>
      <c r="J45" s="3">
        <v>0</v>
      </c>
      <c r="K45" s="3">
        <f t="shared" si="10"/>
        <v>47273.935918744253</v>
      </c>
    </row>
    <row r="46" spans="2:11" x14ac:dyDescent="0.3">
      <c r="B46" s="2">
        <v>46765</v>
      </c>
      <c r="C46" s="3">
        <f t="shared" si="11"/>
        <v>47273.935918744253</v>
      </c>
      <c r="D46" s="3">
        <v>30.416699999999999</v>
      </c>
      <c r="E46" s="3">
        <f t="shared" si="6"/>
        <v>472.73987725797309</v>
      </c>
      <c r="F46" s="3">
        <v>0</v>
      </c>
      <c r="G46" s="3">
        <f t="shared" si="7"/>
        <v>2224</v>
      </c>
      <c r="H46" s="3">
        <f t="shared" si="8"/>
        <v>1751.2601227420269</v>
      </c>
      <c r="I46" s="3">
        <f t="shared" si="9"/>
        <v>472.73987725797309</v>
      </c>
      <c r="J46" s="3">
        <v>0</v>
      </c>
      <c r="K46" s="3">
        <f t="shared" si="10"/>
        <v>45522.67579600223</v>
      </c>
    </row>
    <row r="47" spans="2:11" x14ac:dyDescent="0.3">
      <c r="B47" s="2">
        <v>46796</v>
      </c>
      <c r="C47" s="3">
        <f t="shared" si="11"/>
        <v>45522.67579600223</v>
      </c>
      <c r="D47" s="3">
        <v>30.416699999999999</v>
      </c>
      <c r="E47" s="3">
        <f t="shared" si="6"/>
        <v>455.22725683866111</v>
      </c>
      <c r="F47" s="3">
        <v>0</v>
      </c>
      <c r="G47" s="3">
        <f t="shared" si="7"/>
        <v>2224</v>
      </c>
      <c r="H47" s="3">
        <f t="shared" si="8"/>
        <v>1768.7727431613389</v>
      </c>
      <c r="I47" s="3">
        <f t="shared" si="9"/>
        <v>455.22725683866111</v>
      </c>
      <c r="J47" s="3">
        <v>0</v>
      </c>
      <c r="K47" s="3">
        <f t="shared" si="10"/>
        <v>43753.903052840891</v>
      </c>
    </row>
    <row r="48" spans="2:11" x14ac:dyDescent="0.3">
      <c r="B48" s="2">
        <v>46825</v>
      </c>
      <c r="C48" s="3">
        <f t="shared" si="11"/>
        <v>43753.903052840891</v>
      </c>
      <c r="D48" s="3">
        <v>30.416699999999999</v>
      </c>
      <c r="E48" s="3">
        <f t="shared" si="6"/>
        <v>437.53951002323686</v>
      </c>
      <c r="F48" s="3">
        <v>0</v>
      </c>
      <c r="G48" s="3">
        <f t="shared" si="7"/>
        <v>2224</v>
      </c>
      <c r="H48" s="3">
        <f t="shared" si="8"/>
        <v>1786.4604899767633</v>
      </c>
      <c r="I48" s="3">
        <f t="shared" si="9"/>
        <v>437.53951002323686</v>
      </c>
      <c r="J48" s="3">
        <v>0</v>
      </c>
      <c r="K48" s="3">
        <f t="shared" si="10"/>
        <v>41967.442562864126</v>
      </c>
    </row>
    <row r="49" spans="2:11" x14ac:dyDescent="0.3">
      <c r="B49" s="2">
        <v>46856</v>
      </c>
      <c r="C49" s="3">
        <f t="shared" si="11"/>
        <v>41967.442562864126</v>
      </c>
      <c r="D49" s="3">
        <v>30.416699999999999</v>
      </c>
      <c r="E49" s="3">
        <f t="shared" si="6"/>
        <v>419.67488554582002</v>
      </c>
      <c r="F49" s="3">
        <v>0</v>
      </c>
      <c r="G49" s="3">
        <f t="shared" si="7"/>
        <v>2224</v>
      </c>
      <c r="H49" s="3">
        <f t="shared" si="8"/>
        <v>1804.32511445418</v>
      </c>
      <c r="I49" s="3">
        <f t="shared" si="9"/>
        <v>419.67488554582002</v>
      </c>
      <c r="J49" s="3">
        <v>0</v>
      </c>
      <c r="K49" s="3">
        <f t="shared" si="10"/>
        <v>40163.117448409947</v>
      </c>
    </row>
    <row r="50" spans="2:11" x14ac:dyDescent="0.3">
      <c r="B50" s="2">
        <v>46886</v>
      </c>
      <c r="C50" s="3">
        <f t="shared" si="11"/>
        <v>40163.117448409947</v>
      </c>
      <c r="D50" s="3">
        <v>30.416699999999999</v>
      </c>
      <c r="E50" s="3">
        <f t="shared" si="6"/>
        <v>401.63161462785229</v>
      </c>
      <c r="F50" s="3">
        <v>0</v>
      </c>
      <c r="G50" s="3">
        <f t="shared" si="7"/>
        <v>2224</v>
      </c>
      <c r="H50" s="3">
        <f t="shared" si="8"/>
        <v>1822.3683853721477</v>
      </c>
      <c r="I50" s="3">
        <f t="shared" si="9"/>
        <v>401.63161462785229</v>
      </c>
      <c r="J50" s="3">
        <v>0</v>
      </c>
      <c r="K50" s="3">
        <f t="shared" si="10"/>
        <v>38340.749063037802</v>
      </c>
    </row>
    <row r="51" spans="2:11" x14ac:dyDescent="0.3">
      <c r="B51" s="2">
        <v>46917</v>
      </c>
      <c r="C51" s="3">
        <f t="shared" si="11"/>
        <v>38340.749063037802</v>
      </c>
      <c r="D51" s="3">
        <v>30.416699999999999</v>
      </c>
      <c r="E51" s="3">
        <f t="shared" si="6"/>
        <v>383.40791080297055</v>
      </c>
      <c r="F51" s="3">
        <v>0</v>
      </c>
      <c r="G51" s="3">
        <f t="shared" si="7"/>
        <v>2224</v>
      </c>
      <c r="H51" s="3">
        <f t="shared" si="8"/>
        <v>1840.5920891970295</v>
      </c>
      <c r="I51" s="3">
        <f t="shared" si="9"/>
        <v>383.40791080297055</v>
      </c>
      <c r="J51" s="3">
        <v>0</v>
      </c>
      <c r="K51" s="3">
        <f t="shared" si="10"/>
        <v>36500.156973840771</v>
      </c>
    </row>
    <row r="52" spans="2:11" x14ac:dyDescent="0.3">
      <c r="B52" s="2">
        <v>46947</v>
      </c>
      <c r="C52" s="3">
        <f t="shared" si="11"/>
        <v>36500.156973840771</v>
      </c>
      <c r="D52" s="3">
        <v>30.416699999999999</v>
      </c>
      <c r="E52" s="3">
        <f t="shared" si="6"/>
        <v>365.00196974012795</v>
      </c>
      <c r="F52" s="3">
        <v>0</v>
      </c>
      <c r="G52" s="3">
        <f t="shared" si="7"/>
        <v>2224</v>
      </c>
      <c r="H52" s="3">
        <f t="shared" si="8"/>
        <v>1858.9980302598719</v>
      </c>
      <c r="I52" s="3">
        <f t="shared" si="9"/>
        <v>365.00196974012795</v>
      </c>
      <c r="J52" s="3">
        <v>0</v>
      </c>
      <c r="K52" s="3">
        <f t="shared" si="10"/>
        <v>34641.1589435809</v>
      </c>
    </row>
    <row r="53" spans="2:11" x14ac:dyDescent="0.3">
      <c r="B53" s="2">
        <v>46978</v>
      </c>
      <c r="C53" s="3">
        <f t="shared" si="11"/>
        <v>34641.1589435809</v>
      </c>
      <c r="D53" s="3">
        <v>30.416699999999999</v>
      </c>
      <c r="E53" s="3">
        <f t="shared" si="6"/>
        <v>346.4119690649481</v>
      </c>
      <c r="F53" s="3">
        <v>0</v>
      </c>
      <c r="G53" s="3">
        <f t="shared" si="7"/>
        <v>2224</v>
      </c>
      <c r="H53" s="3">
        <f t="shared" si="8"/>
        <v>1877.5880309350518</v>
      </c>
      <c r="I53" s="3">
        <f t="shared" si="9"/>
        <v>346.4119690649481</v>
      </c>
      <c r="J53" s="3">
        <v>0</v>
      </c>
      <c r="K53" s="3">
        <f t="shared" si="10"/>
        <v>32763.57091264585</v>
      </c>
    </row>
    <row r="54" spans="2:11" x14ac:dyDescent="0.3">
      <c r="B54" s="2">
        <v>47009</v>
      </c>
      <c r="C54" s="3">
        <f t="shared" si="11"/>
        <v>32763.57091264585</v>
      </c>
      <c r="D54" s="3">
        <v>30.416699999999999</v>
      </c>
      <c r="E54" s="3">
        <f t="shared" si="6"/>
        <v>327.63606817929036</v>
      </c>
      <c r="F54" s="3">
        <v>0</v>
      </c>
      <c r="G54" s="3">
        <f t="shared" si="7"/>
        <v>2224</v>
      </c>
      <c r="H54" s="3">
        <f t="shared" si="8"/>
        <v>1896.3639318207097</v>
      </c>
      <c r="I54" s="3">
        <f t="shared" si="9"/>
        <v>327.63606817929036</v>
      </c>
      <c r="J54" s="3">
        <v>0</v>
      </c>
      <c r="K54" s="3">
        <f t="shared" si="10"/>
        <v>30867.20698082514</v>
      </c>
    </row>
    <row r="55" spans="2:11" x14ac:dyDescent="0.3">
      <c r="B55" s="2">
        <v>47039</v>
      </c>
      <c r="C55" s="3">
        <f t="shared" si="11"/>
        <v>30867.20698082514</v>
      </c>
      <c r="D55" s="3">
        <v>30.416699999999999</v>
      </c>
      <c r="E55" s="3">
        <f t="shared" si="6"/>
        <v>308.67240807901283</v>
      </c>
      <c r="F55" s="3">
        <v>0</v>
      </c>
      <c r="G55" s="3">
        <f t="shared" si="7"/>
        <v>2224</v>
      </c>
      <c r="H55" s="3">
        <f t="shared" si="8"/>
        <v>1915.3275919209873</v>
      </c>
      <c r="I55" s="3">
        <f t="shared" si="9"/>
        <v>308.67240807901283</v>
      </c>
      <c r="J55" s="3">
        <v>0</v>
      </c>
      <c r="K55" s="3">
        <f t="shared" si="10"/>
        <v>28951.879388904152</v>
      </c>
    </row>
    <row r="56" spans="2:11" x14ac:dyDescent="0.3">
      <c r="B56" s="2">
        <v>47070</v>
      </c>
      <c r="C56" s="3">
        <f t="shared" si="11"/>
        <v>28951.879388904152</v>
      </c>
      <c r="D56" s="3">
        <v>30.416699999999999</v>
      </c>
      <c r="E56" s="3">
        <f t="shared" si="6"/>
        <v>289.51911116991153</v>
      </c>
      <c r="F56" s="3">
        <v>0</v>
      </c>
      <c r="G56" s="3">
        <f t="shared" si="7"/>
        <v>2224</v>
      </c>
      <c r="H56" s="3">
        <f t="shared" si="8"/>
        <v>1934.4808888300886</v>
      </c>
      <c r="I56" s="3">
        <f t="shared" si="9"/>
        <v>289.51911116991153</v>
      </c>
      <c r="J56" s="3">
        <v>0</v>
      </c>
      <c r="K56" s="3">
        <f t="shared" si="10"/>
        <v>27017.398500074065</v>
      </c>
    </row>
    <row r="57" spans="2:11" x14ac:dyDescent="0.3">
      <c r="B57" s="2">
        <v>47100</v>
      </c>
      <c r="C57" s="3">
        <f t="shared" si="11"/>
        <v>27017.398500074065</v>
      </c>
      <c r="D57" s="3">
        <v>30.416699999999999</v>
      </c>
      <c r="E57" s="3">
        <f t="shared" si="6"/>
        <v>270.17428108182008</v>
      </c>
      <c r="F57" s="3">
        <v>0</v>
      </c>
      <c r="G57" s="3">
        <f t="shared" si="7"/>
        <v>2224</v>
      </c>
      <c r="H57" s="3">
        <f t="shared" si="8"/>
        <v>1953.82571891818</v>
      </c>
      <c r="I57" s="3">
        <f t="shared" si="9"/>
        <v>270.17428108182008</v>
      </c>
      <c r="J57" s="3">
        <v>0</v>
      </c>
      <c r="K57" s="3">
        <f t="shared" si="10"/>
        <v>25063.572781155886</v>
      </c>
    </row>
    <row r="58" spans="2:11" x14ac:dyDescent="0.3">
      <c r="B58" s="2">
        <v>47131</v>
      </c>
      <c r="C58" s="3">
        <f t="shared" si="11"/>
        <v>25063.572781155886</v>
      </c>
      <c r="D58" s="3">
        <v>30.416699999999999</v>
      </c>
      <c r="E58" s="3">
        <f t="shared" si="6"/>
        <v>250.63600248084958</v>
      </c>
      <c r="F58" s="3">
        <v>0</v>
      </c>
      <c r="G58" s="3">
        <f t="shared" si="7"/>
        <v>2224</v>
      </c>
      <c r="H58" s="3">
        <f t="shared" si="8"/>
        <v>1973.3639975191504</v>
      </c>
      <c r="I58" s="3">
        <f t="shared" si="9"/>
        <v>250.63600248084958</v>
      </c>
      <c r="J58" s="3">
        <v>0</v>
      </c>
      <c r="K58" s="3">
        <f t="shared" si="10"/>
        <v>23090.208783636735</v>
      </c>
    </row>
    <row r="59" spans="2:11" x14ac:dyDescent="0.3">
      <c r="B59" s="2">
        <v>47162</v>
      </c>
      <c r="C59" s="3">
        <f t="shared" si="11"/>
        <v>23090.208783636735</v>
      </c>
      <c r="D59" s="3">
        <v>30.416699999999999</v>
      </c>
      <c r="E59" s="3">
        <f t="shared" si="6"/>
        <v>230.90234087975131</v>
      </c>
      <c r="F59" s="3">
        <v>0</v>
      </c>
      <c r="G59" s="3">
        <f t="shared" si="7"/>
        <v>2224</v>
      </c>
      <c r="H59" s="3">
        <f t="shared" si="8"/>
        <v>1993.0976591202486</v>
      </c>
      <c r="I59" s="3">
        <f t="shared" si="9"/>
        <v>230.90234087975131</v>
      </c>
      <c r="J59" s="3">
        <v>0</v>
      </c>
      <c r="K59" s="3">
        <f t="shared" si="10"/>
        <v>21097.111124516487</v>
      </c>
    </row>
    <row r="60" spans="2:11" x14ac:dyDescent="0.3">
      <c r="B60" s="2">
        <v>47190</v>
      </c>
      <c r="C60" s="3">
        <f t="shared" si="11"/>
        <v>21097.111124516487</v>
      </c>
      <c r="D60" s="3">
        <v>30.416699999999999</v>
      </c>
      <c r="E60" s="3">
        <f t="shared" si="6"/>
        <v>210.97134244638266</v>
      </c>
      <c r="F60" s="3">
        <v>0</v>
      </c>
      <c r="G60" s="3">
        <f t="shared" si="7"/>
        <v>2224</v>
      </c>
      <c r="H60" s="3">
        <f t="shared" si="8"/>
        <v>2013.0286575536174</v>
      </c>
      <c r="I60" s="3">
        <f t="shared" si="9"/>
        <v>210.97134244638266</v>
      </c>
      <c r="J60" s="3">
        <v>0</v>
      </c>
      <c r="K60" s="3">
        <f t="shared" si="10"/>
        <v>19084.082466962871</v>
      </c>
    </row>
    <row r="61" spans="2:11" x14ac:dyDescent="0.3">
      <c r="B61" s="2">
        <v>47221</v>
      </c>
      <c r="C61" s="3">
        <f t="shared" si="11"/>
        <v>19084.082466962871</v>
      </c>
      <c r="D61" s="3">
        <v>30.416699999999999</v>
      </c>
      <c r="E61" s="3">
        <f t="shared" si="6"/>
        <v>190.84103381025847</v>
      </c>
      <c r="F61" s="3">
        <v>0</v>
      </c>
      <c r="G61" s="3">
        <f t="shared" si="7"/>
        <v>2224</v>
      </c>
      <c r="H61" s="3">
        <f t="shared" si="8"/>
        <v>2033.1589661897415</v>
      </c>
      <c r="I61" s="3">
        <f t="shared" si="9"/>
        <v>190.84103381025847</v>
      </c>
      <c r="J61" s="3">
        <v>0</v>
      </c>
      <c r="K61" s="3">
        <f t="shared" si="10"/>
        <v>17050.923500773129</v>
      </c>
    </row>
    <row r="62" spans="2:11" x14ac:dyDescent="0.3">
      <c r="B62" s="2">
        <v>47251</v>
      </c>
      <c r="C62" s="3">
        <f t="shared" si="11"/>
        <v>17050.923500773129</v>
      </c>
      <c r="D62" s="3">
        <v>30.416699999999999</v>
      </c>
      <c r="E62" s="3">
        <f t="shared" si="6"/>
        <v>170.50942186716688</v>
      </c>
      <c r="F62" s="3">
        <v>0</v>
      </c>
      <c r="G62" s="3">
        <f t="shared" si="7"/>
        <v>2224</v>
      </c>
      <c r="H62" s="3">
        <f t="shared" si="8"/>
        <v>2053.490578132833</v>
      </c>
      <c r="I62" s="3">
        <f t="shared" si="9"/>
        <v>170.50942186716688</v>
      </c>
      <c r="J62" s="3">
        <v>0</v>
      </c>
      <c r="K62" s="3">
        <f t="shared" si="10"/>
        <v>14997.432922640297</v>
      </c>
    </row>
    <row r="63" spans="2:11" x14ac:dyDescent="0.3">
      <c r="B63" s="2">
        <v>47282</v>
      </c>
      <c r="C63" s="3">
        <f t="shared" si="11"/>
        <v>14997.432922640297</v>
      </c>
      <c r="D63" s="3">
        <v>30.416699999999999</v>
      </c>
      <c r="E63" s="3">
        <f t="shared" si="6"/>
        <v>149.97449358183226</v>
      </c>
      <c r="F63" s="3">
        <v>0</v>
      </c>
      <c r="G63" s="3">
        <f t="shared" si="7"/>
        <v>2224</v>
      </c>
      <c r="H63" s="3">
        <f t="shared" si="8"/>
        <v>2074.0255064181679</v>
      </c>
      <c r="I63" s="3">
        <f t="shared" si="9"/>
        <v>149.97449358183226</v>
      </c>
      <c r="J63" s="3">
        <v>0</v>
      </c>
      <c r="K63" s="3">
        <f t="shared" si="10"/>
        <v>12923.40741622213</v>
      </c>
    </row>
    <row r="64" spans="2:11" x14ac:dyDescent="0.3">
      <c r="B64" s="2">
        <v>47312</v>
      </c>
      <c r="C64" s="3">
        <f t="shared" si="11"/>
        <v>12923.40741622213</v>
      </c>
      <c r="D64" s="3">
        <v>30.416699999999999</v>
      </c>
      <c r="E64" s="3">
        <f t="shared" si="6"/>
        <v>129.23421578860393</v>
      </c>
      <c r="F64" s="3">
        <v>0</v>
      </c>
      <c r="G64" s="3">
        <f t="shared" si="7"/>
        <v>2224</v>
      </c>
      <c r="H64" s="3">
        <f t="shared" si="8"/>
        <v>2094.7657842113958</v>
      </c>
      <c r="I64" s="3">
        <f t="shared" si="9"/>
        <v>129.23421578860393</v>
      </c>
      <c r="J64" s="3">
        <v>0</v>
      </c>
      <c r="K64" s="3">
        <f t="shared" si="10"/>
        <v>10828.641632010735</v>
      </c>
    </row>
    <row r="65" spans="2:11" x14ac:dyDescent="0.3">
      <c r="B65" s="2">
        <v>47343</v>
      </c>
      <c r="C65" s="3">
        <f t="shared" si="11"/>
        <v>10828.641632010735</v>
      </c>
      <c r="D65" s="3">
        <v>30.416699999999999</v>
      </c>
      <c r="E65" s="3">
        <f t="shared" si="6"/>
        <v>108.28653499015262</v>
      </c>
      <c r="F65" s="3">
        <v>0</v>
      </c>
      <c r="G65" s="3">
        <f t="shared" si="7"/>
        <v>2224</v>
      </c>
      <c r="H65" s="3">
        <f t="shared" si="8"/>
        <v>2115.7134650098474</v>
      </c>
      <c r="I65" s="3">
        <f t="shared" si="9"/>
        <v>108.28653499015262</v>
      </c>
      <c r="J65" s="3">
        <v>0</v>
      </c>
      <c r="K65" s="3">
        <f t="shared" si="10"/>
        <v>8712.9281670008877</v>
      </c>
    </row>
    <row r="66" spans="2:11" x14ac:dyDescent="0.3">
      <c r="B66" s="2">
        <v>47374</v>
      </c>
      <c r="C66" s="3">
        <f t="shared" si="11"/>
        <v>8712.9281670008877</v>
      </c>
      <c r="D66" s="3">
        <v>30.416699999999999</v>
      </c>
      <c r="E66" s="3">
        <f t="shared" si="6"/>
        <v>87.129377154153175</v>
      </c>
      <c r="F66" s="3">
        <v>0</v>
      </c>
      <c r="G66" s="3">
        <f t="shared" si="7"/>
        <v>2224</v>
      </c>
      <c r="H66" s="3">
        <f t="shared" si="8"/>
        <v>2136.8706228458468</v>
      </c>
      <c r="I66" s="3">
        <f t="shared" si="9"/>
        <v>87.129377154153175</v>
      </c>
      <c r="J66" s="3">
        <v>0</v>
      </c>
      <c r="K66" s="3">
        <f t="shared" si="10"/>
        <v>6576.0575441550409</v>
      </c>
    </row>
    <row r="67" spans="2:11" x14ac:dyDescent="0.3">
      <c r="B67" s="2">
        <v>47404</v>
      </c>
      <c r="C67" s="3">
        <f t="shared" si="11"/>
        <v>6576.0575441550409</v>
      </c>
      <c r="D67" s="3">
        <v>30.416699999999999</v>
      </c>
      <c r="E67" s="3">
        <f t="shared" si="6"/>
        <v>65.760647507934451</v>
      </c>
      <c r="F67" s="3">
        <v>0</v>
      </c>
      <c r="G67" s="3">
        <f t="shared" si="7"/>
        <v>2224</v>
      </c>
      <c r="H67" s="3">
        <f t="shared" si="8"/>
        <v>2158.2393524920653</v>
      </c>
      <c r="I67" s="3">
        <f t="shared" si="9"/>
        <v>65.760647507934451</v>
      </c>
      <c r="J67" s="3">
        <v>0</v>
      </c>
      <c r="K67" s="3">
        <f t="shared" si="10"/>
        <v>4417.8181916629756</v>
      </c>
    </row>
    <row r="68" spans="2:11" x14ac:dyDescent="0.3">
      <c r="B68" s="2">
        <v>47435</v>
      </c>
      <c r="C68" s="3">
        <f t="shared" si="11"/>
        <v>4417.8181916629756</v>
      </c>
      <c r="D68" s="3">
        <v>30.416699999999999</v>
      </c>
      <c r="E68" s="3">
        <f t="shared" si="6"/>
        <v>44.178230331075689</v>
      </c>
      <c r="F68" s="3">
        <v>0</v>
      </c>
      <c r="G68" s="3">
        <f t="shared" si="7"/>
        <v>2224</v>
      </c>
      <c r="H68" s="3">
        <f t="shared" si="8"/>
        <v>2179.8217696689244</v>
      </c>
      <c r="I68" s="3">
        <f t="shared" si="9"/>
        <v>44.178230331075689</v>
      </c>
      <c r="J68" s="3">
        <v>0</v>
      </c>
      <c r="K68" s="3">
        <f t="shared" si="10"/>
        <v>2237.9964219940512</v>
      </c>
    </row>
    <row r="69" spans="2:11" x14ac:dyDescent="0.3">
      <c r="B69" s="2">
        <v>47465</v>
      </c>
      <c r="C69" s="3">
        <f t="shared" si="11"/>
        <v>2237.9964219940512</v>
      </c>
      <c r="D69" s="3">
        <v>30.416699999999999</v>
      </c>
      <c r="E69" s="3">
        <f t="shared" si="6"/>
        <v>22.379988745928696</v>
      </c>
      <c r="F69" s="3">
        <v>0</v>
      </c>
      <c r="G69" s="3">
        <f t="shared" si="7"/>
        <v>2224</v>
      </c>
      <c r="H69" s="3">
        <f t="shared" si="8"/>
        <v>2201.6200112540714</v>
      </c>
      <c r="I69" s="3">
        <f t="shared" si="9"/>
        <v>22.379988745928696</v>
      </c>
      <c r="J69" s="3">
        <v>0</v>
      </c>
      <c r="K69" s="3">
        <f t="shared" si="10"/>
        <v>36.376410739979747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37A57-F284-4842-8F01-DC41E468C73F}">
  <sheetPr codeName="Sheet2"/>
  <dimension ref="B2:D5"/>
  <sheetViews>
    <sheetView workbookViewId="0">
      <selection activeCell="D14" sqref="D14"/>
    </sheetView>
  </sheetViews>
  <sheetFormatPr defaultRowHeight="14.4" x14ac:dyDescent="0.3"/>
  <cols>
    <col min="2" max="2" width="11.109375" bestFit="1" customWidth="1"/>
    <col min="4" max="4" width="12" bestFit="1" customWidth="1"/>
  </cols>
  <sheetData>
    <row r="2" spans="2:4" x14ac:dyDescent="0.3">
      <c r="B2" t="s">
        <v>0</v>
      </c>
      <c r="C2">
        <v>355174.57</v>
      </c>
      <c r="D2" s="1">
        <v>111672.65</v>
      </c>
    </row>
    <row r="3" spans="2:4" x14ac:dyDescent="0.3">
      <c r="B3" t="s">
        <v>1</v>
      </c>
      <c r="C3">
        <v>14.8</v>
      </c>
    </row>
    <row r="4" spans="2:4" x14ac:dyDescent="0.3">
      <c r="B4" t="s">
        <v>2</v>
      </c>
      <c r="C4">
        <v>72</v>
      </c>
    </row>
    <row r="5" spans="2:4" x14ac:dyDescent="0.3">
      <c r="C5">
        <v>6526.96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Sheet33</vt:lpstr>
      <vt:lpstr>Sheet32</vt:lpstr>
      <vt:lpstr>Sheet31</vt:lpstr>
      <vt:lpstr>Sheet30</vt:lpstr>
      <vt:lpstr>Sheet29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Danish Danial</dc:creator>
  <cp:lastModifiedBy>Danish Danial</cp:lastModifiedBy>
  <dcterms:created xsi:type="dcterms:W3CDTF">2024-12-09T11:29:12Z</dcterms:created>
  <dcterms:modified xsi:type="dcterms:W3CDTF">2024-12-13T11:30:32Z</dcterms:modified>
</cp:coreProperties>
</file>